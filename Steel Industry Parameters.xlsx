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bin/Desktop/"/>
    </mc:Choice>
  </mc:AlternateContent>
  <xr:revisionPtr revIDLastSave="0" documentId="8_{DEBB5061-386B-544E-A59F-F4F8CBD7E57E}" xr6:coauthVersionLast="47" xr6:coauthVersionMax="47" xr10:uidLastSave="{00000000-0000-0000-0000-000000000000}"/>
  <bookViews>
    <workbookView xWindow="1400" yWindow="1320" windowWidth="27840" windowHeight="16700" xr2:uid="{C09940C6-19E5-6646-A361-0535A0F90F02}"/>
  </bookViews>
  <sheets>
    <sheet name="Steel Industry Parameters" sheetId="1" r:id="rId1"/>
  </sheets>
  <externalReferences>
    <externalReference r:id="rId2"/>
    <externalReference r:id="rId3"/>
  </externalReferences>
  <definedNames>
    <definedName name="rounding_decimal_places">[2]About!$A$123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39" i="1" l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6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Z197" i="1"/>
  <c r="D160" i="1"/>
  <c r="D159" i="1"/>
  <c r="D151" i="1"/>
  <c r="D142" i="1"/>
  <c r="D141" i="1"/>
  <c r="D150" i="1" s="1"/>
  <c r="AE121" i="1"/>
  <c r="Z121" i="1"/>
  <c r="U121" i="1"/>
  <c r="AE120" i="1"/>
  <c r="Z120" i="1"/>
  <c r="U120" i="1"/>
  <c r="P120" i="1"/>
  <c r="N78" i="1"/>
  <c r="M78" i="1"/>
  <c r="AI77" i="1"/>
  <c r="I75" i="1"/>
  <c r="E73" i="1"/>
  <c r="M71" i="1"/>
  <c r="L69" i="1"/>
  <c r="I67" i="1"/>
  <c r="P66" i="1"/>
  <c r="AE63" i="1"/>
  <c r="G63" i="1"/>
  <c r="F63" i="1"/>
  <c r="K60" i="1"/>
  <c r="V57" i="1"/>
  <c r="U57" i="1"/>
  <c r="O57" i="1"/>
  <c r="E56" i="1"/>
  <c r="AI55" i="1"/>
  <c r="AH55" i="1"/>
  <c r="AG55" i="1"/>
  <c r="O55" i="1"/>
  <c r="G54" i="1"/>
  <c r="F54" i="1"/>
  <c r="E54" i="1"/>
  <c r="G53" i="1"/>
  <c r="F53" i="1"/>
  <c r="AG52" i="1"/>
  <c r="W52" i="1"/>
  <c r="G52" i="1"/>
  <c r="AB50" i="1"/>
  <c r="X50" i="1"/>
  <c r="W50" i="1"/>
  <c r="AC49" i="1"/>
  <c r="Y49" i="1"/>
  <c r="X49" i="1"/>
  <c r="N49" i="1"/>
  <c r="Z48" i="1"/>
  <c r="P48" i="1"/>
  <c r="O48" i="1"/>
  <c r="N48" i="1"/>
  <c r="T47" i="1"/>
  <c r="Q47" i="1"/>
  <c r="P47" i="1"/>
  <c r="Z46" i="1"/>
  <c r="Y46" i="1"/>
  <c r="X46" i="1"/>
  <c r="W46" i="1"/>
  <c r="AC45" i="1"/>
  <c r="AB45" i="1"/>
  <c r="G45" i="1"/>
  <c r="F45" i="1"/>
  <c r="M43" i="1"/>
  <c r="J43" i="1"/>
  <c r="I43" i="1"/>
  <c r="S42" i="1"/>
  <c r="R42" i="1"/>
  <c r="Q42" i="1"/>
  <c r="P42" i="1"/>
  <c r="V41" i="1"/>
  <c r="U41" i="1"/>
  <c r="AE40" i="1"/>
  <c r="AD40" i="1"/>
  <c r="AC40" i="1"/>
  <c r="AB40" i="1"/>
  <c r="H40" i="1"/>
  <c r="F40" i="1"/>
  <c r="R39" i="1"/>
  <c r="P39" i="1"/>
  <c r="AC38" i="1"/>
  <c r="AB38" i="1"/>
  <c r="AA38" i="1"/>
  <c r="Z38" i="1"/>
  <c r="I38" i="1"/>
  <c r="H38" i="1"/>
  <c r="G38" i="1"/>
  <c r="F38" i="1"/>
  <c r="AA36" i="1"/>
  <c r="Z36" i="1"/>
  <c r="R36" i="1"/>
  <c r="Q36" i="1"/>
  <c r="P36" i="1"/>
  <c r="G36" i="1"/>
  <c r="F36" i="1"/>
  <c r="AB35" i="1"/>
  <c r="AA35" i="1"/>
  <c r="Q35" i="1"/>
  <c r="H35" i="1"/>
  <c r="G35" i="1"/>
  <c r="AG33" i="1"/>
  <c r="AF33" i="1"/>
  <c r="AE33" i="1"/>
  <c r="AD33" i="1"/>
  <c r="M33" i="1"/>
  <c r="L33" i="1"/>
  <c r="K33" i="1"/>
  <c r="J33" i="1"/>
  <c r="X32" i="1"/>
  <c r="W32" i="1"/>
  <c r="V32" i="1"/>
  <c r="U32" i="1"/>
  <c r="AI31" i="1"/>
  <c r="AH31" i="1"/>
  <c r="AG31" i="1"/>
  <c r="AF31" i="1"/>
  <c r="O31" i="1"/>
  <c r="N31" i="1"/>
  <c r="M31" i="1"/>
  <c r="L31" i="1"/>
  <c r="Z29" i="1"/>
  <c r="Y29" i="1"/>
  <c r="X29" i="1"/>
  <c r="W29" i="1"/>
  <c r="I29" i="1"/>
  <c r="H29" i="1"/>
  <c r="G29" i="1"/>
  <c r="F29" i="1"/>
  <c r="AD28" i="1"/>
  <c r="AC28" i="1"/>
  <c r="AB28" i="1"/>
  <c r="AA28" i="1"/>
  <c r="Z28" i="1"/>
  <c r="Y28" i="1"/>
  <c r="S28" i="1"/>
  <c r="P28" i="1"/>
  <c r="O28" i="1"/>
  <c r="N28" i="1"/>
  <c r="M28" i="1"/>
  <c r="J28" i="1"/>
  <c r="AE27" i="1"/>
  <c r="AD27" i="1"/>
  <c r="AC27" i="1"/>
  <c r="U27" i="1"/>
  <c r="T27" i="1"/>
  <c r="S27" i="1"/>
  <c r="R27" i="1"/>
  <c r="J27" i="1"/>
  <c r="I27" i="1"/>
  <c r="H27" i="1"/>
  <c r="G27" i="1"/>
  <c r="F27" i="1"/>
  <c r="AD26" i="1"/>
  <c r="AC26" i="1"/>
  <c r="AB26" i="1"/>
  <c r="AA26" i="1"/>
  <c r="Z26" i="1"/>
  <c r="Y26" i="1"/>
  <c r="S26" i="1"/>
  <c r="P26" i="1"/>
  <c r="O26" i="1"/>
  <c r="K26" i="1"/>
  <c r="J26" i="1"/>
  <c r="AE25" i="1"/>
  <c r="AD25" i="1"/>
  <c r="AC25" i="1"/>
  <c r="U25" i="1"/>
  <c r="T25" i="1"/>
  <c r="S25" i="1"/>
  <c r="R25" i="1"/>
  <c r="J25" i="1"/>
  <c r="I25" i="1"/>
  <c r="H25" i="1"/>
  <c r="G25" i="1"/>
  <c r="F25" i="1"/>
  <c r="AD24" i="1"/>
  <c r="AC24" i="1"/>
  <c r="AB24" i="1"/>
  <c r="AA24" i="1"/>
  <c r="X24" i="1"/>
  <c r="W24" i="1"/>
  <c r="S24" i="1"/>
  <c r="K24" i="1"/>
  <c r="J24" i="1"/>
  <c r="AG22" i="1"/>
  <c r="AF22" i="1"/>
  <c r="AE22" i="1"/>
  <c r="AD22" i="1"/>
  <c r="W22" i="1"/>
  <c r="V22" i="1"/>
  <c r="U22" i="1"/>
  <c r="T22" i="1"/>
  <c r="S22" i="1"/>
  <c r="R22" i="1"/>
  <c r="L22" i="1"/>
  <c r="I22" i="1"/>
  <c r="H22" i="1"/>
  <c r="X21" i="1"/>
  <c r="W21" i="1"/>
  <c r="V21" i="1"/>
  <c r="N21" i="1"/>
  <c r="M21" i="1"/>
  <c r="L21" i="1"/>
  <c r="K21" i="1"/>
  <c r="AG20" i="1"/>
  <c r="AF20" i="1"/>
  <c r="AE20" i="1"/>
  <c r="AD20" i="1"/>
  <c r="W20" i="1"/>
  <c r="V20" i="1"/>
  <c r="U20" i="1"/>
  <c r="T20" i="1"/>
  <c r="Q20" i="1"/>
  <c r="P20" i="1"/>
  <c r="L20" i="1"/>
  <c r="X19" i="1"/>
  <c r="W19" i="1"/>
  <c r="N19" i="1"/>
  <c r="M19" i="1"/>
  <c r="AF17" i="1"/>
  <c r="AC17" i="1"/>
  <c r="AB17" i="1"/>
  <c r="AA17" i="1"/>
  <c r="Z17" i="1"/>
  <c r="V17" i="1"/>
  <c r="S17" i="1"/>
  <c r="R17" i="1"/>
  <c r="Q17" i="1"/>
  <c r="P17" i="1"/>
  <c r="L17" i="1"/>
  <c r="I17" i="1"/>
  <c r="H17" i="1"/>
  <c r="G17" i="1"/>
  <c r="F17" i="1"/>
  <c r="AI12" i="1"/>
  <c r="AH12" i="1"/>
  <c r="AG12" i="1"/>
  <c r="AG73" i="1" s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O76" i="1" s="1"/>
  <c r="N12" i="1"/>
  <c r="M12" i="1"/>
  <c r="L12" i="1"/>
  <c r="K12" i="1"/>
  <c r="J12" i="1"/>
  <c r="I12" i="1"/>
  <c r="I73" i="1" s="1"/>
  <c r="H12" i="1"/>
  <c r="H73" i="1" s="1"/>
  <c r="G12" i="1"/>
  <c r="G75" i="1" s="1"/>
  <c r="F12" i="1"/>
  <c r="E12" i="1"/>
  <c r="AI11" i="1"/>
  <c r="AH11" i="1"/>
  <c r="AG11" i="1"/>
  <c r="AF11" i="1"/>
  <c r="AE11" i="1"/>
  <c r="AD11" i="1"/>
  <c r="AC11" i="1"/>
  <c r="AB11" i="1"/>
  <c r="AA11" i="1"/>
  <c r="Z11" i="1"/>
  <c r="Z56" i="1" s="1"/>
  <c r="Y11" i="1"/>
  <c r="X11" i="1"/>
  <c r="W11" i="1"/>
  <c r="V11" i="1"/>
  <c r="V52" i="1" s="1"/>
  <c r="U11" i="1"/>
  <c r="U54" i="1" s="1"/>
  <c r="T11" i="1"/>
  <c r="S11" i="1"/>
  <c r="R11" i="1"/>
  <c r="R56" i="1" s="1"/>
  <c r="Q11" i="1"/>
  <c r="P11" i="1"/>
  <c r="O11" i="1"/>
  <c r="N11" i="1"/>
  <c r="M11" i="1"/>
  <c r="M55" i="1" s="1"/>
  <c r="L11" i="1"/>
  <c r="L57" i="1" s="1"/>
  <c r="K11" i="1"/>
  <c r="J11" i="1"/>
  <c r="I11" i="1"/>
  <c r="I52" i="1" s="1"/>
  <c r="H11" i="1"/>
  <c r="H53" i="1" s="1"/>
  <c r="G11" i="1"/>
  <c r="F11" i="1"/>
  <c r="E11" i="1"/>
  <c r="AI10" i="1"/>
  <c r="AH10" i="1"/>
  <c r="AG10" i="1"/>
  <c r="AF10" i="1"/>
  <c r="AE10" i="1"/>
  <c r="AE36" i="1" s="1"/>
  <c r="AD10" i="1"/>
  <c r="AD31" i="1" s="1"/>
  <c r="AC10" i="1"/>
  <c r="AC33" i="1" s="1"/>
  <c r="AB10" i="1"/>
  <c r="AA10" i="1"/>
  <c r="Z10" i="1"/>
  <c r="Y10" i="1"/>
  <c r="X10" i="1"/>
  <c r="W10" i="1"/>
  <c r="V10" i="1"/>
  <c r="V31" i="1" s="1"/>
  <c r="U10" i="1"/>
  <c r="U36" i="1" s="1"/>
  <c r="T10" i="1"/>
  <c r="T31" i="1" s="1"/>
  <c r="S10" i="1"/>
  <c r="S33" i="1" s="1"/>
  <c r="R10" i="1"/>
  <c r="Q10" i="1"/>
  <c r="P10" i="1"/>
  <c r="O10" i="1"/>
  <c r="N10" i="1"/>
  <c r="M10" i="1"/>
  <c r="L10" i="1"/>
  <c r="K10" i="1"/>
  <c r="K36" i="1" s="1"/>
  <c r="J10" i="1"/>
  <c r="J31" i="1" s="1"/>
  <c r="I10" i="1"/>
  <c r="I33" i="1" s="1"/>
  <c r="H10" i="1"/>
  <c r="G10" i="1"/>
  <c r="F10" i="1"/>
  <c r="E10" i="1"/>
  <c r="AI9" i="1"/>
  <c r="AH9" i="1"/>
  <c r="AG9" i="1"/>
  <c r="AG70" i="1" s="1"/>
  <c r="AF9" i="1"/>
  <c r="AE9" i="1"/>
  <c r="AE66" i="1" s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P70" i="1" s="1"/>
  <c r="O9" i="1"/>
  <c r="N9" i="1"/>
  <c r="M9" i="1"/>
  <c r="M67" i="1" s="1"/>
  <c r="L9" i="1"/>
  <c r="L71" i="1" s="1"/>
  <c r="K9" i="1"/>
  <c r="K69" i="1" s="1"/>
  <c r="J9" i="1"/>
  <c r="I9" i="1"/>
  <c r="H9" i="1"/>
  <c r="G9" i="1"/>
  <c r="G70" i="1" s="1"/>
  <c r="F9" i="1"/>
  <c r="F68" i="1" s="1"/>
  <c r="E9" i="1"/>
  <c r="E70" i="1" s="1"/>
  <c r="AI8" i="1"/>
  <c r="AH8" i="1"/>
  <c r="AH46" i="1" s="1"/>
  <c r="AG8" i="1"/>
  <c r="AF8" i="1"/>
  <c r="AF48" i="1" s="1"/>
  <c r="AE8" i="1"/>
  <c r="AD8" i="1"/>
  <c r="AC8" i="1"/>
  <c r="AB8" i="1"/>
  <c r="AA8" i="1"/>
  <c r="AA47" i="1" s="1"/>
  <c r="Z8" i="1"/>
  <c r="Y8" i="1"/>
  <c r="X8" i="1"/>
  <c r="W8" i="1"/>
  <c r="V8" i="1"/>
  <c r="V50" i="1" s="1"/>
  <c r="U8" i="1"/>
  <c r="U47" i="1" s="1"/>
  <c r="T8" i="1"/>
  <c r="S8" i="1"/>
  <c r="R8" i="1"/>
  <c r="Q8" i="1"/>
  <c r="Q45" i="1" s="1"/>
  <c r="P8" i="1"/>
  <c r="O8" i="1"/>
  <c r="O47" i="1" s="1"/>
  <c r="N8" i="1"/>
  <c r="M8" i="1"/>
  <c r="M49" i="1" s="1"/>
  <c r="L8" i="1"/>
  <c r="K8" i="1"/>
  <c r="J8" i="1"/>
  <c r="I8" i="1"/>
  <c r="I50" i="1" s="1"/>
  <c r="H8" i="1"/>
  <c r="H46" i="1" s="1"/>
  <c r="G8" i="1"/>
  <c r="F8" i="1"/>
  <c r="AI7" i="1"/>
  <c r="AH7" i="1"/>
  <c r="AG7" i="1"/>
  <c r="AG28" i="1" s="1"/>
  <c r="AF7" i="1"/>
  <c r="AE7" i="1"/>
  <c r="AD7" i="1"/>
  <c r="AD29" i="1" s="1"/>
  <c r="AC7" i="1"/>
  <c r="AC29" i="1" s="1"/>
  <c r="AB7" i="1"/>
  <c r="AB29" i="1" s="1"/>
  <c r="AA7" i="1"/>
  <c r="AA29" i="1" s="1"/>
  <c r="Z7" i="1"/>
  <c r="Z24" i="1" s="1"/>
  <c r="Y7" i="1"/>
  <c r="Y27" i="1" s="1"/>
  <c r="X7" i="1"/>
  <c r="X27" i="1" s="1"/>
  <c r="W7" i="1"/>
  <c r="W25" i="1" s="1"/>
  <c r="V7" i="1"/>
  <c r="V25" i="1" s="1"/>
  <c r="U7" i="1"/>
  <c r="T7" i="1"/>
  <c r="T29" i="1" s="1"/>
  <c r="S7" i="1"/>
  <c r="S29" i="1" s="1"/>
  <c r="R7" i="1"/>
  <c r="R29" i="1" s="1"/>
  <c r="Q7" i="1"/>
  <c r="Q29" i="1" s="1"/>
  <c r="P7" i="1"/>
  <c r="P24" i="1" s="1"/>
  <c r="O7" i="1"/>
  <c r="N7" i="1"/>
  <c r="M7" i="1"/>
  <c r="L7" i="1"/>
  <c r="L29" i="1" s="1"/>
  <c r="K7" i="1"/>
  <c r="J7" i="1"/>
  <c r="J29" i="1" s="1"/>
  <c r="I7" i="1"/>
  <c r="I28" i="1" s="1"/>
  <c r="H7" i="1"/>
  <c r="H28" i="1" s="1"/>
  <c r="G7" i="1"/>
  <c r="G28" i="1" s="1"/>
  <c r="F7" i="1"/>
  <c r="F24" i="1" s="1"/>
  <c r="E7" i="1"/>
  <c r="AI6" i="1"/>
  <c r="AI60" i="1" s="1"/>
  <c r="AH6" i="1"/>
  <c r="AH62" i="1" s="1"/>
  <c r="AG6" i="1"/>
  <c r="AF6" i="1"/>
  <c r="AE6" i="1"/>
  <c r="AE59" i="1" s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P63" i="1" s="1"/>
  <c r="O6" i="1"/>
  <c r="N6" i="1"/>
  <c r="N59" i="1" s="1"/>
  <c r="M6" i="1"/>
  <c r="L6" i="1"/>
  <c r="K6" i="1"/>
  <c r="K64" i="1" s="1"/>
  <c r="J6" i="1"/>
  <c r="J64" i="1" s="1"/>
  <c r="I6" i="1"/>
  <c r="I64" i="1" s="1"/>
  <c r="H6" i="1"/>
  <c r="G6" i="1"/>
  <c r="F6" i="1"/>
  <c r="E6" i="1"/>
  <c r="E61" i="1" s="1"/>
  <c r="AI5" i="1"/>
  <c r="AH5" i="1"/>
  <c r="AH43" i="1" s="1"/>
  <c r="AG5" i="1"/>
  <c r="AF5" i="1"/>
  <c r="AF41" i="1" s="1"/>
  <c r="AE5" i="1"/>
  <c r="AD5" i="1"/>
  <c r="AC5" i="1"/>
  <c r="AB5" i="1"/>
  <c r="AB42" i="1" s="1"/>
  <c r="AA5" i="1"/>
  <c r="Z5" i="1"/>
  <c r="Y5" i="1"/>
  <c r="Y43" i="1" s="1"/>
  <c r="X5" i="1"/>
  <c r="W5" i="1"/>
  <c r="V5" i="1"/>
  <c r="U5" i="1"/>
  <c r="T5" i="1"/>
  <c r="T43" i="1" s="1"/>
  <c r="S5" i="1"/>
  <c r="R5" i="1"/>
  <c r="Q5" i="1"/>
  <c r="Q39" i="1" s="1"/>
  <c r="P5" i="1"/>
  <c r="O5" i="1"/>
  <c r="O40" i="1" s="1"/>
  <c r="N5" i="1"/>
  <c r="N39" i="1" s="1"/>
  <c r="M5" i="1"/>
  <c r="L5" i="1"/>
  <c r="K5" i="1"/>
  <c r="J5" i="1"/>
  <c r="J41" i="1" s="1"/>
  <c r="I5" i="1"/>
  <c r="I41" i="1" s="1"/>
  <c r="H5" i="1"/>
  <c r="H42" i="1" s="1"/>
  <c r="G5" i="1"/>
  <c r="G40" i="1" s="1"/>
  <c r="F5" i="1"/>
  <c r="E5" i="1"/>
  <c r="E40" i="1" s="1"/>
  <c r="AI4" i="1"/>
  <c r="AI22" i="1" s="1"/>
  <c r="AH4" i="1"/>
  <c r="AH17" i="1" s="1"/>
  <c r="AG4" i="1"/>
  <c r="AG21" i="1" s="1"/>
  <c r="AF4" i="1"/>
  <c r="AF21" i="1" s="1"/>
  <c r="AE4" i="1"/>
  <c r="AE18" i="1" s="1"/>
  <c r="AD4" i="1"/>
  <c r="AD19" i="1" s="1"/>
  <c r="AC4" i="1"/>
  <c r="AC20" i="1" s="1"/>
  <c r="AB4" i="1"/>
  <c r="AB19" i="1" s="1"/>
  <c r="AA4" i="1"/>
  <c r="AA20" i="1" s="1"/>
  <c r="Z4" i="1"/>
  <c r="Z22" i="1" s="1"/>
  <c r="Y4" i="1"/>
  <c r="Y19" i="1" s="1"/>
  <c r="X4" i="1"/>
  <c r="X17" i="1" s="1"/>
  <c r="W4" i="1"/>
  <c r="W18" i="1" s="1"/>
  <c r="V4" i="1"/>
  <c r="V19" i="1" s="1"/>
  <c r="U4" i="1"/>
  <c r="U21" i="1" s="1"/>
  <c r="T4" i="1"/>
  <c r="T21" i="1" s="1"/>
  <c r="S4" i="1"/>
  <c r="S20" i="1" s="1"/>
  <c r="R4" i="1"/>
  <c r="Q4" i="1"/>
  <c r="P4" i="1"/>
  <c r="P22" i="1" s="1"/>
  <c r="O4" i="1"/>
  <c r="O19" i="1" s="1"/>
  <c r="N4" i="1"/>
  <c r="N22" i="1" s="1"/>
  <c r="M4" i="1"/>
  <c r="M18" i="1" s="1"/>
  <c r="L4" i="1"/>
  <c r="L19" i="1" s="1"/>
  <c r="K4" i="1"/>
  <c r="K19" i="1" s="1"/>
  <c r="J4" i="1"/>
  <c r="J19" i="1" s="1"/>
  <c r="I4" i="1"/>
  <c r="I20" i="1" s="1"/>
  <c r="H4" i="1"/>
  <c r="H19" i="1" s="1"/>
  <c r="G4" i="1"/>
  <c r="G18" i="1" s="1"/>
  <c r="F4" i="1"/>
  <c r="F22" i="1" s="1"/>
  <c r="E4" i="1"/>
  <c r="E22" i="1" s="1"/>
  <c r="E36" i="1" l="1"/>
  <c r="E29" i="1"/>
  <c r="X41" i="1"/>
  <c r="X40" i="1"/>
  <c r="X38" i="1"/>
  <c r="X42" i="1"/>
  <c r="AG64" i="1"/>
  <c r="AG63" i="1"/>
  <c r="AG61" i="1"/>
  <c r="AG59" i="1"/>
  <c r="AG62" i="1"/>
  <c r="AG60" i="1"/>
  <c r="T69" i="1"/>
  <c r="T68" i="1"/>
  <c r="T71" i="1"/>
  <c r="T66" i="1"/>
  <c r="T67" i="1"/>
  <c r="T70" i="1"/>
  <c r="AB57" i="1"/>
  <c r="AB55" i="1"/>
  <c r="AB53" i="1"/>
  <c r="AB52" i="1"/>
  <c r="AB56" i="1"/>
  <c r="AB54" i="1"/>
  <c r="E18" i="1"/>
  <c r="AI40" i="1"/>
  <c r="AI39" i="1"/>
  <c r="AI42" i="1"/>
  <c r="M27" i="1"/>
  <c r="M26" i="1"/>
  <c r="L47" i="1"/>
  <c r="L45" i="1"/>
  <c r="L48" i="1"/>
  <c r="S57" i="1"/>
  <c r="S56" i="1"/>
  <c r="S55" i="1"/>
  <c r="S52" i="1"/>
  <c r="R78" i="1"/>
  <c r="R76" i="1"/>
  <c r="R74" i="1"/>
  <c r="E19" i="1"/>
  <c r="AC35" i="1"/>
  <c r="F43" i="1"/>
  <c r="F41" i="1"/>
  <c r="AH26" i="1"/>
  <c r="AH25" i="1"/>
  <c r="S78" i="1"/>
  <c r="S76" i="1"/>
  <c r="S74" i="1"/>
  <c r="S77" i="1"/>
  <c r="S75" i="1"/>
  <c r="S73" i="1"/>
  <c r="R21" i="1"/>
  <c r="R20" i="1"/>
  <c r="AA43" i="1"/>
  <c r="AA41" i="1"/>
  <c r="AI25" i="1"/>
  <c r="AI24" i="1"/>
  <c r="L36" i="1"/>
  <c r="L35" i="1"/>
  <c r="AE56" i="1"/>
  <c r="AE55" i="1"/>
  <c r="AE57" i="1"/>
  <c r="AE54" i="1"/>
  <c r="AE53" i="1"/>
  <c r="AE52" i="1"/>
  <c r="AD78" i="1"/>
  <c r="AD76" i="1"/>
  <c r="AD74" i="1"/>
  <c r="AD77" i="1"/>
  <c r="AD75" i="1"/>
  <c r="AD73" i="1"/>
  <c r="G19" i="1"/>
  <c r="G20" i="1"/>
  <c r="Z21" i="1"/>
  <c r="V34" i="1"/>
  <c r="K35" i="1"/>
  <c r="T36" i="1"/>
  <c r="M42" i="1"/>
  <c r="M41" i="1"/>
  <c r="M40" i="1"/>
  <c r="M39" i="1"/>
  <c r="M38" i="1"/>
  <c r="W42" i="1"/>
  <c r="W41" i="1"/>
  <c r="W39" i="1"/>
  <c r="W40" i="1"/>
  <c r="W38" i="1"/>
  <c r="AG42" i="1"/>
  <c r="AG41" i="1"/>
  <c r="AG224" i="1" s="1"/>
  <c r="AG43" i="1"/>
  <c r="AG225" i="1" s="1"/>
  <c r="AG39" i="1"/>
  <c r="AG38" i="1"/>
  <c r="AG40" i="1"/>
  <c r="L63" i="1"/>
  <c r="L61" i="1"/>
  <c r="L59" i="1"/>
  <c r="L64" i="1"/>
  <c r="L62" i="1"/>
  <c r="L60" i="1"/>
  <c r="V63" i="1"/>
  <c r="V61" i="1"/>
  <c r="V64" i="1"/>
  <c r="V62" i="1"/>
  <c r="V60" i="1"/>
  <c r="V59" i="1"/>
  <c r="AF63" i="1"/>
  <c r="AF61" i="1"/>
  <c r="AF59" i="1"/>
  <c r="AF64" i="1"/>
  <c r="AF62" i="1"/>
  <c r="AF60" i="1"/>
  <c r="K29" i="1"/>
  <c r="K28" i="1"/>
  <c r="U29" i="1"/>
  <c r="U28" i="1"/>
  <c r="AE29" i="1"/>
  <c r="AE28" i="1"/>
  <c r="J46" i="1"/>
  <c r="J45" i="1"/>
  <c r="J48" i="1"/>
  <c r="J230" i="1" s="1"/>
  <c r="J47" i="1"/>
  <c r="J49" i="1"/>
  <c r="T46" i="1"/>
  <c r="T45" i="1"/>
  <c r="T50" i="1"/>
  <c r="T49" i="1"/>
  <c r="T48" i="1"/>
  <c r="AD46" i="1"/>
  <c r="AD45" i="1"/>
  <c r="AD47" i="1"/>
  <c r="AD50" i="1"/>
  <c r="I70" i="1"/>
  <c r="I69" i="1"/>
  <c r="I71" i="1"/>
  <c r="I68" i="1"/>
  <c r="I66" i="1"/>
  <c r="S70" i="1"/>
  <c r="S69" i="1"/>
  <c r="S67" i="1"/>
  <c r="S71" i="1"/>
  <c r="S68" i="1"/>
  <c r="S66" i="1"/>
  <c r="AC70" i="1"/>
  <c r="AC69" i="1"/>
  <c r="AC67" i="1"/>
  <c r="AC71" i="1"/>
  <c r="AC68" i="1"/>
  <c r="AC66" i="1"/>
  <c r="H33" i="1"/>
  <c r="H32" i="1"/>
  <c r="H31" i="1"/>
  <c r="R33" i="1"/>
  <c r="R32" i="1"/>
  <c r="R31" i="1"/>
  <c r="AB33" i="1"/>
  <c r="AB32" i="1"/>
  <c r="AB31" i="1"/>
  <c r="G56" i="1"/>
  <c r="G55" i="1"/>
  <c r="G57" i="1"/>
  <c r="G237" i="1" s="1"/>
  <c r="Q57" i="1"/>
  <c r="Q237" i="1" s="1"/>
  <c r="Q55" i="1"/>
  <c r="Q54" i="1"/>
  <c r="Q52" i="1"/>
  <c r="Q56" i="1"/>
  <c r="Q53" i="1"/>
  <c r="AA57" i="1"/>
  <c r="AA53" i="1"/>
  <c r="AA52" i="1"/>
  <c r="AA55" i="1"/>
  <c r="F74" i="1"/>
  <c r="F73" i="1"/>
  <c r="F78" i="1"/>
  <c r="F76" i="1"/>
  <c r="F77" i="1"/>
  <c r="F75" i="1"/>
  <c r="P74" i="1"/>
  <c r="P73" i="1"/>
  <c r="P77" i="1"/>
  <c r="P75" i="1"/>
  <c r="P78" i="1"/>
  <c r="P76" i="1"/>
  <c r="Z74" i="1"/>
  <c r="Z73" i="1"/>
  <c r="Z77" i="1"/>
  <c r="Z75" i="1"/>
  <c r="Z78" i="1"/>
  <c r="Z76" i="1"/>
  <c r="E17" i="1"/>
  <c r="O17" i="1"/>
  <c r="Y17" i="1"/>
  <c r="AI17" i="1"/>
  <c r="N18" i="1"/>
  <c r="X18" i="1"/>
  <c r="AH18" i="1"/>
  <c r="AH19" i="1"/>
  <c r="O20" i="1"/>
  <c r="J21" i="1"/>
  <c r="AH21" i="1"/>
  <c r="O22" i="1"/>
  <c r="AC22" i="1"/>
  <c r="V24" i="1"/>
  <c r="AH24" i="1"/>
  <c r="Q25" i="1"/>
  <c r="V26" i="1"/>
  <c r="Q27" i="1"/>
  <c r="X28" i="1"/>
  <c r="V29" i="1"/>
  <c r="K31" i="1"/>
  <c r="AE31" i="1"/>
  <c r="T32" i="1"/>
  <c r="R34" i="1"/>
  <c r="E38" i="1"/>
  <c r="Y38" i="1"/>
  <c r="AH39" i="1"/>
  <c r="AA40" i="1"/>
  <c r="T41" i="1"/>
  <c r="T224" i="1" s="1"/>
  <c r="O42" i="1"/>
  <c r="H43" i="1"/>
  <c r="H225" i="1" s="1"/>
  <c r="AA45" i="1"/>
  <c r="V46" i="1"/>
  <c r="M48" i="1"/>
  <c r="J60" i="1"/>
  <c r="G66" i="1"/>
  <c r="AG68" i="1"/>
  <c r="I77" i="1"/>
  <c r="J69" i="1"/>
  <c r="J68" i="1"/>
  <c r="J66" i="1"/>
  <c r="J70" i="1"/>
  <c r="J71" i="1"/>
  <c r="Y18" i="1"/>
  <c r="S34" i="1"/>
  <c r="S236" i="1" s="1"/>
  <c r="O39" i="1"/>
  <c r="AI43" i="1"/>
  <c r="AI225" i="1" s="1"/>
  <c r="H75" i="1"/>
  <c r="R77" i="1"/>
  <c r="N41" i="1"/>
  <c r="N40" i="1"/>
  <c r="N42" i="1"/>
  <c r="N38" i="1"/>
  <c r="W64" i="1"/>
  <c r="W63" i="1"/>
  <c r="W61" i="1"/>
  <c r="W59" i="1"/>
  <c r="W62" i="1"/>
  <c r="W60" i="1"/>
  <c r="I32" i="1"/>
  <c r="I31" i="1"/>
  <c r="AI18" i="1"/>
  <c r="X64" i="1"/>
  <c r="X63" i="1"/>
  <c r="X61" i="1"/>
  <c r="X59" i="1"/>
  <c r="X62" i="1"/>
  <c r="X60" i="1"/>
  <c r="K68" i="1"/>
  <c r="K67" i="1"/>
  <c r="K66" i="1"/>
  <c r="K70" i="1"/>
  <c r="T34" i="1"/>
  <c r="T236" i="1" s="1"/>
  <c r="Y63" i="1"/>
  <c r="Y62" i="1"/>
  <c r="Y60" i="1"/>
  <c r="Y61" i="1"/>
  <c r="Y59" i="1"/>
  <c r="Y64" i="1"/>
  <c r="J57" i="1"/>
  <c r="J56" i="1"/>
  <c r="J54" i="1"/>
  <c r="J53" i="1"/>
  <c r="F20" i="1"/>
  <c r="F224" i="1" s="1"/>
  <c r="U34" i="1"/>
  <c r="J35" i="1"/>
  <c r="AD35" i="1"/>
  <c r="S36" i="1"/>
  <c r="Y41" i="1"/>
  <c r="AF45" i="1"/>
  <c r="H54" i="1"/>
  <c r="M69" i="1"/>
  <c r="R75" i="1"/>
  <c r="AE45" i="1"/>
  <c r="AE50" i="1"/>
  <c r="AE46" i="1"/>
  <c r="AE49" i="1"/>
  <c r="Q73" i="1"/>
  <c r="Q78" i="1"/>
  <c r="Q76" i="1"/>
  <c r="Q74" i="1"/>
  <c r="Q77" i="1"/>
  <c r="Q75" i="1"/>
  <c r="P224" i="1"/>
  <c r="AI21" i="1"/>
  <c r="AH64" i="1"/>
  <c r="AH63" i="1"/>
  <c r="AH61" i="1"/>
  <c r="AH59" i="1"/>
  <c r="U68" i="1"/>
  <c r="U67" i="1"/>
  <c r="U71" i="1"/>
  <c r="U69" i="1"/>
  <c r="U66" i="1"/>
  <c r="U70" i="1"/>
  <c r="Z18" i="1"/>
  <c r="L26" i="1"/>
  <c r="I35" i="1"/>
  <c r="AH60" i="1"/>
  <c r="P43" i="1"/>
  <c r="P41" i="1"/>
  <c r="AE237" i="1"/>
  <c r="Q43" i="1"/>
  <c r="R225" i="1" s="1"/>
  <c r="Q41" i="1"/>
  <c r="Q224" i="1" s="1"/>
  <c r="H18" i="1"/>
  <c r="AE35" i="1"/>
  <c r="S54" i="1"/>
  <c r="E59" i="1"/>
  <c r="J67" i="1"/>
  <c r="AG75" i="1"/>
  <c r="AF28" i="1"/>
  <c r="AF27" i="1"/>
  <c r="AF230" i="1" s="1"/>
  <c r="AI19" i="1"/>
  <c r="E43" i="1"/>
  <c r="E41" i="1"/>
  <c r="AA22" i="1"/>
  <c r="AA21" i="1"/>
  <c r="Z42" i="1"/>
  <c r="Z40" i="1"/>
  <c r="AI63" i="1"/>
  <c r="AI62" i="1"/>
  <c r="AI61" i="1"/>
  <c r="AI59" i="1"/>
  <c r="AI64" i="1"/>
  <c r="W48" i="1"/>
  <c r="W47" i="1"/>
  <c r="W45" i="1"/>
  <c r="W49" i="1"/>
  <c r="AC78" i="1"/>
  <c r="AC76" i="1"/>
  <c r="AC74" i="1"/>
  <c r="AC77" i="1"/>
  <c r="AC75" i="1"/>
  <c r="AC73" i="1"/>
  <c r="F19" i="1"/>
  <c r="Z19" i="1"/>
  <c r="Y21" i="1"/>
  <c r="AH27" i="1"/>
  <c r="O25" i="1"/>
  <c r="O24" i="1"/>
  <c r="W66" i="1"/>
  <c r="W70" i="1"/>
  <c r="W68" i="1"/>
  <c r="W71" i="1"/>
  <c r="W69" i="1"/>
  <c r="W67" i="1"/>
  <c r="R18" i="1"/>
  <c r="G61" i="1"/>
  <c r="G60" i="1"/>
  <c r="G64" i="1"/>
  <c r="G62" i="1"/>
  <c r="G59" i="1"/>
  <c r="AA61" i="1"/>
  <c r="AA60" i="1"/>
  <c r="AA64" i="1"/>
  <c r="AA62" i="1"/>
  <c r="AA63" i="1"/>
  <c r="AA59" i="1"/>
  <c r="E8" i="1"/>
  <c r="O50" i="1"/>
  <c r="O49" i="1"/>
  <c r="O46" i="1"/>
  <c r="Y50" i="1"/>
  <c r="Y47" i="1"/>
  <c r="Y45" i="1"/>
  <c r="Y48" i="1"/>
  <c r="Y230" i="1" s="1"/>
  <c r="AI50" i="1"/>
  <c r="AI49" i="1"/>
  <c r="AI48" i="1"/>
  <c r="AI45" i="1"/>
  <c r="AI47" i="1"/>
  <c r="N70" i="1"/>
  <c r="N68" i="1"/>
  <c r="N66" i="1"/>
  <c r="N71" i="1"/>
  <c r="N69" i="1"/>
  <c r="N67" i="1"/>
  <c r="X70" i="1"/>
  <c r="X68" i="1"/>
  <c r="X66" i="1"/>
  <c r="X71" i="1"/>
  <c r="X69" i="1"/>
  <c r="X67" i="1"/>
  <c r="AH70" i="1"/>
  <c r="AH68" i="1"/>
  <c r="AH66" i="1"/>
  <c r="AH71" i="1"/>
  <c r="AH69" i="1"/>
  <c r="AH67" i="1"/>
  <c r="M36" i="1"/>
  <c r="M237" i="1" s="1"/>
  <c r="M35" i="1"/>
  <c r="M34" i="1"/>
  <c r="W36" i="1"/>
  <c r="W35" i="1"/>
  <c r="W34" i="1"/>
  <c r="AG36" i="1"/>
  <c r="AG35" i="1"/>
  <c r="AG34" i="1"/>
  <c r="L55" i="1"/>
  <c r="L56" i="1"/>
  <c r="L54" i="1"/>
  <c r="L53" i="1"/>
  <c r="L52" i="1"/>
  <c r="V55" i="1"/>
  <c r="V54" i="1"/>
  <c r="AF55" i="1"/>
  <c r="AF54" i="1"/>
  <c r="AF56" i="1"/>
  <c r="AF57" i="1"/>
  <c r="AF53" i="1"/>
  <c r="AF52" i="1"/>
  <c r="K78" i="1"/>
  <c r="K77" i="1"/>
  <c r="K75" i="1"/>
  <c r="K73" i="1"/>
  <c r="U78" i="1"/>
  <c r="U76" i="1"/>
  <c r="U74" i="1"/>
  <c r="U77" i="1"/>
  <c r="U75" i="1"/>
  <c r="U73" i="1"/>
  <c r="AE78" i="1"/>
  <c r="AE76" i="1"/>
  <c r="AE74" i="1"/>
  <c r="AE77" i="1"/>
  <c r="AE75" i="1"/>
  <c r="AE73" i="1"/>
  <c r="J17" i="1"/>
  <c r="T17" i="1"/>
  <c r="AD17" i="1"/>
  <c r="I18" i="1"/>
  <c r="S18" i="1"/>
  <c r="AC18" i="1"/>
  <c r="R19" i="1"/>
  <c r="J20" i="1"/>
  <c r="AH20" i="1"/>
  <c r="AH224" i="1" s="1"/>
  <c r="O21" i="1"/>
  <c r="AC21" i="1"/>
  <c r="J22" i="1"/>
  <c r="J225" i="1" s="1"/>
  <c r="AH22" i="1"/>
  <c r="Q24" i="1"/>
  <c r="Q26" i="1"/>
  <c r="Q28" i="1"/>
  <c r="AF29" i="1"/>
  <c r="U31" i="1"/>
  <c r="J32" i="1"/>
  <c r="AD32" i="1"/>
  <c r="H34" i="1"/>
  <c r="AB34" i="1"/>
  <c r="O38" i="1"/>
  <c r="AI38" i="1"/>
  <c r="X39" i="1"/>
  <c r="H41" i="1"/>
  <c r="I224" i="1" s="1"/>
  <c r="AA42" i="1"/>
  <c r="O45" i="1"/>
  <c r="AD48" i="1"/>
  <c r="AD230" i="1" s="1"/>
  <c r="AD49" i="1"/>
  <c r="H52" i="1"/>
  <c r="J59" i="1"/>
  <c r="N61" i="1"/>
  <c r="F70" i="1"/>
  <c r="R73" i="1"/>
  <c r="K76" i="1"/>
  <c r="O78" i="1"/>
  <c r="M64" i="1"/>
  <c r="M62" i="1"/>
  <c r="M60" i="1"/>
  <c r="M63" i="1"/>
  <c r="M61" i="1"/>
  <c r="M59" i="1"/>
  <c r="K45" i="1"/>
  <c r="K48" i="1"/>
  <c r="K47" i="1"/>
  <c r="AC32" i="1"/>
  <c r="AC31" i="1"/>
  <c r="O43" i="1"/>
  <c r="O41" i="1"/>
  <c r="Q22" i="1"/>
  <c r="Q21" i="1"/>
  <c r="O63" i="1"/>
  <c r="O62" i="1"/>
  <c r="O60" i="1"/>
  <c r="O64" i="1"/>
  <c r="O61" i="1"/>
  <c r="M47" i="1"/>
  <c r="M45" i="1"/>
  <c r="M50" i="1"/>
  <c r="V67" i="1"/>
  <c r="V66" i="1"/>
  <c r="V70" i="1"/>
  <c r="V68" i="1"/>
  <c r="V71" i="1"/>
  <c r="V69" i="1"/>
  <c r="AF67" i="1"/>
  <c r="AF66" i="1"/>
  <c r="AF71" i="1"/>
  <c r="AF69" i="1"/>
  <c r="AF70" i="1"/>
  <c r="AF68" i="1"/>
  <c r="T57" i="1"/>
  <c r="U237" i="1" s="1"/>
  <c r="T56" i="1"/>
  <c r="T54" i="1"/>
  <c r="T55" i="1"/>
  <c r="Q18" i="1"/>
  <c r="P19" i="1"/>
  <c r="AF25" i="1"/>
  <c r="H21" i="1"/>
  <c r="H20" i="1"/>
  <c r="Z62" i="1"/>
  <c r="Z61" i="1"/>
  <c r="Z63" i="1"/>
  <c r="Z60" i="1"/>
  <c r="Z64" i="1"/>
  <c r="Z59" i="1"/>
  <c r="M66" i="1"/>
  <c r="M70" i="1"/>
  <c r="M68" i="1"/>
  <c r="K56" i="1"/>
  <c r="K55" i="1"/>
  <c r="K53" i="1"/>
  <c r="K54" i="1"/>
  <c r="K52" i="1"/>
  <c r="K57" i="1"/>
  <c r="Z41" i="1"/>
  <c r="R43" i="1"/>
  <c r="R41" i="1"/>
  <c r="S43" i="1"/>
  <c r="T225" i="1" s="1"/>
  <c r="S41" i="1"/>
  <c r="S39" i="1"/>
  <c r="H60" i="1"/>
  <c r="H59" i="1"/>
  <c r="H63" i="1"/>
  <c r="H61" i="1"/>
  <c r="H64" i="1"/>
  <c r="H62" i="1"/>
  <c r="R60" i="1"/>
  <c r="R59" i="1"/>
  <c r="R64" i="1"/>
  <c r="R62" i="1"/>
  <c r="R63" i="1"/>
  <c r="R61" i="1"/>
  <c r="AB60" i="1"/>
  <c r="AB59" i="1"/>
  <c r="AB64" i="1"/>
  <c r="AB62" i="1"/>
  <c r="AB63" i="1"/>
  <c r="AB61" i="1"/>
  <c r="P50" i="1"/>
  <c r="P49" i="1"/>
  <c r="P46" i="1"/>
  <c r="Z50" i="1"/>
  <c r="Z49" i="1"/>
  <c r="Z47" i="1"/>
  <c r="Z45" i="1"/>
  <c r="E71" i="1"/>
  <c r="E69" i="1"/>
  <c r="E67" i="1"/>
  <c r="O71" i="1"/>
  <c r="O69" i="1"/>
  <c r="O67" i="1"/>
  <c r="O70" i="1"/>
  <c r="O68" i="1"/>
  <c r="O66" i="1"/>
  <c r="Y70" i="1"/>
  <c r="Y68" i="1"/>
  <c r="Y66" i="1"/>
  <c r="Y71" i="1"/>
  <c r="Y231" i="1" s="1"/>
  <c r="Y69" i="1"/>
  <c r="Y67" i="1"/>
  <c r="AI70" i="1"/>
  <c r="AI68" i="1"/>
  <c r="AI66" i="1"/>
  <c r="AI71" i="1"/>
  <c r="AI69" i="1"/>
  <c r="AI67" i="1"/>
  <c r="N36" i="1"/>
  <c r="N35" i="1"/>
  <c r="N34" i="1"/>
  <c r="N33" i="1"/>
  <c r="X36" i="1"/>
  <c r="X237" i="1" s="1"/>
  <c r="X35" i="1"/>
  <c r="X34" i="1"/>
  <c r="X33" i="1"/>
  <c r="AH75" i="1"/>
  <c r="AH78" i="1"/>
  <c r="AH73" i="1"/>
  <c r="AH36" i="1"/>
  <c r="AH35" i="1"/>
  <c r="AH34" i="1"/>
  <c r="AH236" i="1" s="1"/>
  <c r="AH33" i="1"/>
  <c r="AH77" i="1"/>
  <c r="M54" i="1"/>
  <c r="M53" i="1"/>
  <c r="M57" i="1"/>
  <c r="M56" i="1"/>
  <c r="M52" i="1"/>
  <c r="W54" i="1"/>
  <c r="W56" i="1"/>
  <c r="W53" i="1"/>
  <c r="W55" i="1"/>
  <c r="W57" i="1"/>
  <c r="AG54" i="1"/>
  <c r="AG53" i="1"/>
  <c r="AG56" i="1"/>
  <c r="AG57" i="1"/>
  <c r="L78" i="1"/>
  <c r="L77" i="1"/>
  <c r="L75" i="1"/>
  <c r="L73" i="1"/>
  <c r="V78" i="1"/>
  <c r="V77" i="1"/>
  <c r="V75" i="1"/>
  <c r="V73" i="1"/>
  <c r="V76" i="1"/>
  <c r="V74" i="1"/>
  <c r="AF78" i="1"/>
  <c r="AF77" i="1"/>
  <c r="AF76" i="1"/>
  <c r="AF74" i="1"/>
  <c r="AF75" i="1"/>
  <c r="AF73" i="1"/>
  <c r="K17" i="1"/>
  <c r="U17" i="1"/>
  <c r="AE17" i="1"/>
  <c r="J18" i="1"/>
  <c r="T18" i="1"/>
  <c r="AD18" i="1"/>
  <c r="I19" i="1"/>
  <c r="S19" i="1"/>
  <c r="AC19" i="1"/>
  <c r="K20" i="1"/>
  <c r="W224" i="1"/>
  <c r="AI20" i="1"/>
  <c r="P21" i="1"/>
  <c r="AD21" i="1"/>
  <c r="K22" i="1"/>
  <c r="R24" i="1"/>
  <c r="K25" i="1"/>
  <c r="F26" i="1"/>
  <c r="R26" i="1"/>
  <c r="K27" i="1"/>
  <c r="F28" i="1"/>
  <c r="R28" i="1"/>
  <c r="M29" i="1"/>
  <c r="AG29" i="1"/>
  <c r="K32" i="1"/>
  <c r="AE32" i="1"/>
  <c r="T33" i="1"/>
  <c r="I34" i="1"/>
  <c r="I236" i="1" s="1"/>
  <c r="AC34" i="1"/>
  <c r="R35" i="1"/>
  <c r="P38" i="1"/>
  <c r="E39" i="1"/>
  <c r="Y39" i="1"/>
  <c r="P40" i="1"/>
  <c r="AI41" i="1"/>
  <c r="W43" i="1"/>
  <c r="W225" i="1" s="1"/>
  <c r="P45" i="1"/>
  <c r="K46" i="1"/>
  <c r="AI46" i="1"/>
  <c r="AE47" i="1"/>
  <c r="AE48" i="1"/>
  <c r="AE230" i="1" s="1"/>
  <c r="R53" i="1"/>
  <c r="Z54" i="1"/>
  <c r="AE61" i="1"/>
  <c r="E68" i="1"/>
  <c r="L76" i="1"/>
  <c r="AH41" i="1"/>
  <c r="AH40" i="1"/>
  <c r="AH38" i="1"/>
  <c r="AH42" i="1"/>
  <c r="L28" i="1"/>
  <c r="L27" i="1"/>
  <c r="S32" i="1"/>
  <c r="S31" i="1"/>
  <c r="G73" i="1"/>
  <c r="G78" i="1"/>
  <c r="G76" i="1"/>
  <c r="G74" i="1"/>
  <c r="O18" i="1"/>
  <c r="G22" i="1"/>
  <c r="G21" i="1"/>
  <c r="E63" i="1"/>
  <c r="E62" i="1"/>
  <c r="E60" i="1"/>
  <c r="E64" i="1"/>
  <c r="F225" i="1" s="1"/>
  <c r="N26" i="1"/>
  <c r="N25" i="1"/>
  <c r="L67" i="1"/>
  <c r="L66" i="1"/>
  <c r="L70" i="1"/>
  <c r="L68" i="1"/>
  <c r="AD57" i="1"/>
  <c r="AD56" i="1"/>
  <c r="AD55" i="1"/>
  <c r="AD53" i="1"/>
  <c r="AD52" i="1"/>
  <c r="AD54" i="1"/>
  <c r="AA18" i="1"/>
  <c r="M24" i="1"/>
  <c r="P62" i="1"/>
  <c r="P61" i="1"/>
  <c r="P60" i="1"/>
  <c r="P64" i="1"/>
  <c r="P59" i="1"/>
  <c r="N47" i="1"/>
  <c r="N45" i="1"/>
  <c r="N50" i="1"/>
  <c r="AF36" i="1"/>
  <c r="AF35" i="1"/>
  <c r="Q19" i="1"/>
  <c r="N43" i="1"/>
  <c r="AB43" i="1"/>
  <c r="AB41" i="1"/>
  <c r="Q61" i="1"/>
  <c r="Q60" i="1"/>
  <c r="Q64" i="1"/>
  <c r="Q62" i="1"/>
  <c r="Q59" i="1"/>
  <c r="Q63" i="1"/>
  <c r="AC43" i="1"/>
  <c r="AC41" i="1"/>
  <c r="AC39" i="1"/>
  <c r="F50" i="1"/>
  <c r="F49" i="1"/>
  <c r="F46" i="1"/>
  <c r="F48" i="1"/>
  <c r="I59" i="1"/>
  <c r="I63" i="1"/>
  <c r="I61" i="1"/>
  <c r="G49" i="1"/>
  <c r="G48" i="1"/>
  <c r="G230" i="1" s="1"/>
  <c r="G50" i="1"/>
  <c r="G231" i="1" s="1"/>
  <c r="G46" i="1"/>
  <c r="Z70" i="1"/>
  <c r="Z68" i="1"/>
  <c r="Z66" i="1"/>
  <c r="Z71" i="1"/>
  <c r="Z69" i="1"/>
  <c r="Z67" i="1"/>
  <c r="X56" i="1"/>
  <c r="X54" i="1"/>
  <c r="X53" i="1"/>
  <c r="X52" i="1"/>
  <c r="X55" i="1"/>
  <c r="X57" i="1"/>
  <c r="K18" i="1"/>
  <c r="AE19" i="1"/>
  <c r="X20" i="1"/>
  <c r="X224" i="1" s="1"/>
  <c r="E21" i="1"/>
  <c r="S21" i="1"/>
  <c r="AE21" i="1"/>
  <c r="G24" i="1"/>
  <c r="AE24" i="1"/>
  <c r="L25" i="1"/>
  <c r="Z25" i="1"/>
  <c r="G26" i="1"/>
  <c r="AE26" i="1"/>
  <c r="N27" i="1"/>
  <c r="Z27" i="1"/>
  <c r="Z230" i="1" s="1"/>
  <c r="N29" i="1"/>
  <c r="N231" i="1" s="1"/>
  <c r="AH29" i="1"/>
  <c r="AH231" i="1" s="1"/>
  <c r="W31" i="1"/>
  <c r="L32" i="1"/>
  <c r="AF32" i="1"/>
  <c r="U33" i="1"/>
  <c r="J34" i="1"/>
  <c r="AD34" i="1"/>
  <c r="S35" i="1"/>
  <c r="H36" i="1"/>
  <c r="AB36" i="1"/>
  <c r="Q38" i="1"/>
  <c r="F39" i="1"/>
  <c r="Z39" i="1"/>
  <c r="Q40" i="1"/>
  <c r="E42" i="1"/>
  <c r="AC42" i="1"/>
  <c r="X43" i="1"/>
  <c r="L46" i="1"/>
  <c r="AF47" i="1"/>
  <c r="J50" i="1"/>
  <c r="J52" i="1"/>
  <c r="S53" i="1"/>
  <c r="AA54" i="1"/>
  <c r="V56" i="1"/>
  <c r="O59" i="1"/>
  <c r="I62" i="1"/>
  <c r="K74" i="1"/>
  <c r="U45" i="1"/>
  <c r="U46" i="1"/>
  <c r="U49" i="1"/>
  <c r="U48" i="1"/>
  <c r="U230" i="1" s="1"/>
  <c r="U50" i="1"/>
  <c r="R57" i="1"/>
  <c r="R237" i="1" s="1"/>
  <c r="R55" i="1"/>
  <c r="R52" i="1"/>
  <c r="R54" i="1"/>
  <c r="N64" i="1"/>
  <c r="N63" i="1"/>
  <c r="N62" i="1"/>
  <c r="N60" i="1"/>
  <c r="W27" i="1"/>
  <c r="W26" i="1"/>
  <c r="V49" i="1"/>
  <c r="V48" i="1"/>
  <c r="V47" i="1"/>
  <c r="V45" i="1"/>
  <c r="I57" i="1"/>
  <c r="I56" i="1"/>
  <c r="I54" i="1"/>
  <c r="I53" i="1"/>
  <c r="H78" i="1"/>
  <c r="H76" i="1"/>
  <c r="H74" i="1"/>
  <c r="AB77" i="1"/>
  <c r="AB75" i="1"/>
  <c r="AB73" i="1"/>
  <c r="AB78" i="1"/>
  <c r="AB76" i="1"/>
  <c r="AB74" i="1"/>
  <c r="F18" i="1"/>
  <c r="E20" i="1"/>
  <c r="L24" i="1"/>
  <c r="AG50" i="1"/>
  <c r="AG46" i="1"/>
  <c r="AG49" i="1"/>
  <c r="AG48" i="1"/>
  <c r="G43" i="1"/>
  <c r="G41" i="1"/>
  <c r="F62" i="1"/>
  <c r="F61" i="1"/>
  <c r="F64" i="1"/>
  <c r="F59" i="1"/>
  <c r="F60" i="1"/>
  <c r="X48" i="1"/>
  <c r="X47" i="1"/>
  <c r="X45" i="1"/>
  <c r="V36" i="1"/>
  <c r="V237" i="1" s="1"/>
  <c r="V35" i="1"/>
  <c r="T78" i="1"/>
  <c r="T76" i="1"/>
  <c r="T74" i="1"/>
  <c r="T77" i="1"/>
  <c r="T75" i="1"/>
  <c r="T73" i="1"/>
  <c r="I225" i="1"/>
  <c r="N24" i="1"/>
  <c r="Z231" i="1"/>
  <c r="J42" i="1"/>
  <c r="J40" i="1"/>
  <c r="J39" i="1"/>
  <c r="J38" i="1"/>
  <c r="AD43" i="1"/>
  <c r="AD41" i="1"/>
  <c r="AD39" i="1"/>
  <c r="AD38" i="1"/>
  <c r="S59" i="1"/>
  <c r="S64" i="1"/>
  <c r="S62" i="1"/>
  <c r="S60" i="1"/>
  <c r="S63" i="1"/>
  <c r="S61" i="1"/>
  <c r="AA49" i="1"/>
  <c r="AA48" i="1"/>
  <c r="AA50" i="1"/>
  <c r="AA231" i="1" s="1"/>
  <c r="AA46" i="1"/>
  <c r="P71" i="1"/>
  <c r="P69" i="1"/>
  <c r="P67" i="1"/>
  <c r="O36" i="1"/>
  <c r="O35" i="1"/>
  <c r="O34" i="1"/>
  <c r="O33" i="1"/>
  <c r="O32" i="1"/>
  <c r="AI75" i="1"/>
  <c r="AI78" i="1"/>
  <c r="AI73" i="1"/>
  <c r="AI36" i="1"/>
  <c r="AI35" i="1"/>
  <c r="AI34" i="1"/>
  <c r="AI33" i="1"/>
  <c r="AI32" i="1"/>
  <c r="AH53" i="1"/>
  <c r="AH52" i="1"/>
  <c r="AH57" i="1"/>
  <c r="AH54" i="1"/>
  <c r="AH56" i="1"/>
  <c r="AG77" i="1"/>
  <c r="AG76" i="1"/>
  <c r="AG74" i="1"/>
  <c r="AG78" i="1"/>
  <c r="U18" i="1"/>
  <c r="T19" i="1"/>
  <c r="X22" i="1"/>
  <c r="K43" i="1"/>
  <c r="K42" i="1"/>
  <c r="K40" i="1"/>
  <c r="K39" i="1"/>
  <c r="K38" i="1"/>
  <c r="U43" i="1"/>
  <c r="U225" i="1" s="1"/>
  <c r="U39" i="1"/>
  <c r="U42" i="1"/>
  <c r="U40" i="1"/>
  <c r="U38" i="1"/>
  <c r="AE43" i="1"/>
  <c r="AE225" i="1" s="1"/>
  <c r="AE41" i="1"/>
  <c r="AE224" i="1" s="1"/>
  <c r="AE39" i="1"/>
  <c r="AE38" i="1"/>
  <c r="J63" i="1"/>
  <c r="J61" i="1"/>
  <c r="T63" i="1"/>
  <c r="T61" i="1"/>
  <c r="T59" i="1"/>
  <c r="T64" i="1"/>
  <c r="T62" i="1"/>
  <c r="U224" i="1" s="1"/>
  <c r="T60" i="1"/>
  <c r="AD64" i="1"/>
  <c r="AD62" i="1"/>
  <c r="AD60" i="1"/>
  <c r="AD63" i="1"/>
  <c r="AD61" i="1"/>
  <c r="AD59" i="1"/>
  <c r="AC231" i="1"/>
  <c r="H48" i="1"/>
  <c r="H230" i="1" s="1"/>
  <c r="H47" i="1"/>
  <c r="H49" i="1"/>
  <c r="H45" i="1"/>
  <c r="H50" i="1"/>
  <c r="I231" i="1" s="1"/>
  <c r="R48" i="1"/>
  <c r="R230" i="1" s="1"/>
  <c r="R47" i="1"/>
  <c r="R49" i="1"/>
  <c r="R46" i="1"/>
  <c r="R50" i="1"/>
  <c r="R231" i="1" s="1"/>
  <c r="AB48" i="1"/>
  <c r="AB47" i="1"/>
  <c r="AB49" i="1"/>
  <c r="AB46" i="1"/>
  <c r="G71" i="1"/>
  <c r="G69" i="1"/>
  <c r="G67" i="1"/>
  <c r="Q71" i="1"/>
  <c r="Q69" i="1"/>
  <c r="Q67" i="1"/>
  <c r="Q70" i="1"/>
  <c r="Q68" i="1"/>
  <c r="Q66" i="1"/>
  <c r="AA71" i="1"/>
  <c r="AA69" i="1"/>
  <c r="AA67" i="1"/>
  <c r="AA70" i="1"/>
  <c r="AA68" i="1"/>
  <c r="AA66" i="1"/>
  <c r="F35" i="1"/>
  <c r="F34" i="1"/>
  <c r="F33" i="1"/>
  <c r="F32" i="1"/>
  <c r="F31" i="1"/>
  <c r="P35" i="1"/>
  <c r="P34" i="1"/>
  <c r="P33" i="1"/>
  <c r="P32" i="1"/>
  <c r="P31" i="1"/>
  <c r="Z35" i="1"/>
  <c r="Z34" i="1"/>
  <c r="Z236" i="1" s="1"/>
  <c r="Z33" i="1"/>
  <c r="Z32" i="1"/>
  <c r="Z31" i="1"/>
  <c r="E57" i="1"/>
  <c r="E55" i="1"/>
  <c r="E52" i="1"/>
  <c r="E53" i="1"/>
  <c r="O52" i="1"/>
  <c r="O53" i="1"/>
  <c r="O56" i="1"/>
  <c r="O54" i="1"/>
  <c r="Y52" i="1"/>
  <c r="Y57" i="1"/>
  <c r="Y56" i="1"/>
  <c r="Y54" i="1"/>
  <c r="Y53" i="1"/>
  <c r="Y55" i="1"/>
  <c r="AI52" i="1"/>
  <c r="AI56" i="1"/>
  <c r="AI54" i="1"/>
  <c r="AI53" i="1"/>
  <c r="AI57" i="1"/>
  <c r="N76" i="1"/>
  <c r="N75" i="1"/>
  <c r="N73" i="1"/>
  <c r="N77" i="1"/>
  <c r="N74" i="1"/>
  <c r="X76" i="1"/>
  <c r="X75" i="1"/>
  <c r="X73" i="1"/>
  <c r="X77" i="1"/>
  <c r="X78" i="1"/>
  <c r="X74" i="1"/>
  <c r="AH76" i="1"/>
  <c r="AH74" i="1"/>
  <c r="M17" i="1"/>
  <c r="W17" i="1"/>
  <c r="AG17" i="1"/>
  <c r="L18" i="1"/>
  <c r="V18" i="1"/>
  <c r="AF18" i="1"/>
  <c r="U19" i="1"/>
  <c r="AF19" i="1"/>
  <c r="M20" i="1"/>
  <c r="Y20" i="1"/>
  <c r="Y224" i="1" s="1"/>
  <c r="F21" i="1"/>
  <c r="M22" i="1"/>
  <c r="Y22" i="1"/>
  <c r="H24" i="1"/>
  <c r="T24" i="1"/>
  <c r="AF24" i="1"/>
  <c r="M25" i="1"/>
  <c r="AA25" i="1"/>
  <c r="H26" i="1"/>
  <c r="T26" i="1"/>
  <c r="AF26" i="1"/>
  <c r="O27" i="1"/>
  <c r="AA27" i="1"/>
  <c r="T28" i="1"/>
  <c r="AH28" i="1"/>
  <c r="O29" i="1"/>
  <c r="O231" i="1" s="1"/>
  <c r="AI29" i="1"/>
  <c r="X31" i="1"/>
  <c r="M32" i="1"/>
  <c r="AG32" i="1"/>
  <c r="V33" i="1"/>
  <c r="K34" i="1"/>
  <c r="AE34" i="1"/>
  <c r="T35" i="1"/>
  <c r="I36" i="1"/>
  <c r="AC36" i="1"/>
  <c r="AC237" i="1" s="1"/>
  <c r="R38" i="1"/>
  <c r="G39" i="1"/>
  <c r="AA39" i="1"/>
  <c r="R40" i="1"/>
  <c r="K41" i="1"/>
  <c r="F42" i="1"/>
  <c r="AD42" i="1"/>
  <c r="R45" i="1"/>
  <c r="M46" i="1"/>
  <c r="F47" i="1"/>
  <c r="AG47" i="1"/>
  <c r="K49" i="1"/>
  <c r="K50" i="1"/>
  <c r="T52" i="1"/>
  <c r="T53" i="1"/>
  <c r="I55" i="1"/>
  <c r="J62" i="1"/>
  <c r="E66" i="1"/>
  <c r="G68" i="1"/>
  <c r="L74" i="1"/>
  <c r="G77" i="1"/>
  <c r="V28" i="1"/>
  <c r="V27" i="1"/>
  <c r="AD69" i="1"/>
  <c r="AD68" i="1"/>
  <c r="AD67" i="1"/>
  <c r="AD71" i="1"/>
  <c r="AD70" i="1"/>
  <c r="AD66" i="1"/>
  <c r="H57" i="1"/>
  <c r="H56" i="1"/>
  <c r="H55" i="1"/>
  <c r="AA73" i="1"/>
  <c r="AA77" i="1"/>
  <c r="AA75" i="1"/>
  <c r="AA78" i="1"/>
  <c r="AA76" i="1"/>
  <c r="AA74" i="1"/>
  <c r="AD224" i="1"/>
  <c r="P225" i="1"/>
  <c r="Y40" i="1"/>
  <c r="Y42" i="1"/>
  <c r="AG27" i="1"/>
  <c r="AG26" i="1"/>
  <c r="AF50" i="1"/>
  <c r="AF46" i="1"/>
  <c r="AF49" i="1"/>
  <c r="AE68" i="1"/>
  <c r="AE67" i="1"/>
  <c r="AE71" i="1"/>
  <c r="AE69" i="1"/>
  <c r="AE70" i="1"/>
  <c r="AC57" i="1"/>
  <c r="AC55" i="1"/>
  <c r="AC53" i="1"/>
  <c r="AC52" i="1"/>
  <c r="AC56" i="1"/>
  <c r="AC54" i="1"/>
  <c r="P18" i="1"/>
  <c r="S225" i="1"/>
  <c r="X231" i="1"/>
  <c r="X26" i="1"/>
  <c r="X25" i="1"/>
  <c r="I78" i="1"/>
  <c r="I76" i="1"/>
  <c r="I74" i="1"/>
  <c r="AB21" i="1"/>
  <c r="AB20" i="1"/>
  <c r="AB224" i="1" s="1"/>
  <c r="Y25" i="1"/>
  <c r="Y24" i="1"/>
  <c r="AH49" i="1"/>
  <c r="AH48" i="1"/>
  <c r="AH45" i="1"/>
  <c r="AH50" i="1"/>
  <c r="AG66" i="1"/>
  <c r="AG71" i="1"/>
  <c r="AG69" i="1"/>
  <c r="AG67" i="1"/>
  <c r="U56" i="1"/>
  <c r="U55" i="1"/>
  <c r="U53" i="1"/>
  <c r="J77" i="1"/>
  <c r="J75" i="1"/>
  <c r="J73" i="1"/>
  <c r="J78" i="1"/>
  <c r="K237" i="1" s="1"/>
  <c r="J76" i="1"/>
  <c r="J74" i="1"/>
  <c r="AB18" i="1"/>
  <c r="AA19" i="1"/>
  <c r="AG25" i="1"/>
  <c r="AI27" i="1"/>
  <c r="AG45" i="1"/>
  <c r="I42" i="1"/>
  <c r="I40" i="1"/>
  <c r="I39" i="1"/>
  <c r="Q231" i="1"/>
  <c r="T39" i="1"/>
  <c r="T42" i="1"/>
  <c r="T40" i="1"/>
  <c r="T38" i="1"/>
  <c r="AC59" i="1"/>
  <c r="AC64" i="1"/>
  <c r="AC62" i="1"/>
  <c r="AC60" i="1"/>
  <c r="AC63" i="1"/>
  <c r="AC61" i="1"/>
  <c r="Q49" i="1"/>
  <c r="Q48" i="1"/>
  <c r="Q50" i="1"/>
  <c r="Q46" i="1"/>
  <c r="F71" i="1"/>
  <c r="F69" i="1"/>
  <c r="F67" i="1"/>
  <c r="Y36" i="1"/>
  <c r="Y237" i="1" s="1"/>
  <c r="Y35" i="1"/>
  <c r="Y34" i="1"/>
  <c r="Y33" i="1"/>
  <c r="Y32" i="1"/>
  <c r="N53" i="1"/>
  <c r="N52" i="1"/>
  <c r="N57" i="1"/>
  <c r="N55" i="1"/>
  <c r="N54" i="1"/>
  <c r="N56" i="1"/>
  <c r="M77" i="1"/>
  <c r="M76" i="1"/>
  <c r="M75" i="1"/>
  <c r="M73" i="1"/>
  <c r="W77" i="1"/>
  <c r="W76" i="1"/>
  <c r="W78" i="1"/>
  <c r="W75" i="1"/>
  <c r="W73" i="1"/>
  <c r="W74" i="1"/>
  <c r="L224" i="1"/>
  <c r="L43" i="1"/>
  <c r="L42" i="1"/>
  <c r="L40" i="1"/>
  <c r="L39" i="1"/>
  <c r="L38" i="1"/>
  <c r="V43" i="1"/>
  <c r="V225" i="1" s="1"/>
  <c r="V42" i="1"/>
  <c r="V39" i="1"/>
  <c r="V40" i="1"/>
  <c r="V38" i="1"/>
  <c r="AF43" i="1"/>
  <c r="AF225" i="1" s="1"/>
  <c r="AF42" i="1"/>
  <c r="AF39" i="1"/>
  <c r="AF38" i="1"/>
  <c r="AF40" i="1"/>
  <c r="K63" i="1"/>
  <c r="K61" i="1"/>
  <c r="K59" i="1"/>
  <c r="U63" i="1"/>
  <c r="U61" i="1"/>
  <c r="U59" i="1"/>
  <c r="U64" i="1"/>
  <c r="U62" i="1"/>
  <c r="V224" i="1" s="1"/>
  <c r="U60" i="1"/>
  <c r="AE64" i="1"/>
  <c r="AE62" i="1"/>
  <c r="AE60" i="1"/>
  <c r="J231" i="1"/>
  <c r="AD231" i="1"/>
  <c r="I47" i="1"/>
  <c r="I46" i="1"/>
  <c r="I48" i="1"/>
  <c r="I49" i="1"/>
  <c r="I45" i="1"/>
  <c r="S47" i="1"/>
  <c r="S46" i="1"/>
  <c r="S48" i="1"/>
  <c r="T230" i="1" s="1"/>
  <c r="S50" i="1"/>
  <c r="T231" i="1" s="1"/>
  <c r="S49" i="1"/>
  <c r="AC47" i="1"/>
  <c r="AC46" i="1"/>
  <c r="AC48" i="1"/>
  <c r="AC50" i="1"/>
  <c r="H71" i="1"/>
  <c r="H70" i="1"/>
  <c r="H68" i="1"/>
  <c r="H66" i="1"/>
  <c r="H69" i="1"/>
  <c r="H67" i="1"/>
  <c r="R71" i="1"/>
  <c r="R70" i="1"/>
  <c r="R69" i="1"/>
  <c r="R67" i="1"/>
  <c r="R68" i="1"/>
  <c r="R66" i="1"/>
  <c r="AB71" i="1"/>
  <c r="AB70" i="1"/>
  <c r="AB69" i="1"/>
  <c r="AB67" i="1"/>
  <c r="AB68" i="1"/>
  <c r="AB66" i="1"/>
  <c r="G34" i="1"/>
  <c r="G33" i="1"/>
  <c r="G32" i="1"/>
  <c r="G31" i="1"/>
  <c r="Q34" i="1"/>
  <c r="Q33" i="1"/>
  <c r="Q32" i="1"/>
  <c r="Q31" i="1"/>
  <c r="AA34" i="1"/>
  <c r="AA33" i="1"/>
  <c r="AA32" i="1"/>
  <c r="AA31" i="1"/>
  <c r="F57" i="1"/>
  <c r="F237" i="1" s="1"/>
  <c r="F55" i="1"/>
  <c r="F52" i="1"/>
  <c r="F56" i="1"/>
  <c r="P57" i="1"/>
  <c r="P55" i="1"/>
  <c r="P52" i="1"/>
  <c r="P56" i="1"/>
  <c r="P53" i="1"/>
  <c r="P54" i="1"/>
  <c r="Z57" i="1"/>
  <c r="AA237" i="1" s="1"/>
  <c r="Z55" i="1"/>
  <c r="Z52" i="1"/>
  <c r="Z53" i="1"/>
  <c r="E75" i="1"/>
  <c r="E74" i="1"/>
  <c r="E78" i="1"/>
  <c r="E76" i="1"/>
  <c r="E77" i="1"/>
  <c r="O75" i="1"/>
  <c r="O74" i="1"/>
  <c r="O77" i="1"/>
  <c r="O73" i="1"/>
  <c r="Y75" i="1"/>
  <c r="Y74" i="1"/>
  <c r="Y73" i="1"/>
  <c r="Y77" i="1"/>
  <c r="Y78" i="1"/>
  <c r="Y76" i="1"/>
  <c r="AI74" i="1"/>
  <c r="AI76" i="1"/>
  <c r="N17" i="1"/>
  <c r="AG18" i="1"/>
  <c r="AG19" i="1"/>
  <c r="N20" i="1"/>
  <c r="N224" i="1" s="1"/>
  <c r="Z20" i="1"/>
  <c r="Z224" i="1" s="1"/>
  <c r="I21" i="1"/>
  <c r="AB22" i="1"/>
  <c r="I24" i="1"/>
  <c r="U24" i="1"/>
  <c r="AG24" i="1"/>
  <c r="P25" i="1"/>
  <c r="AB25" i="1"/>
  <c r="I26" i="1"/>
  <c r="U26" i="1"/>
  <c r="AI26" i="1"/>
  <c r="P27" i="1"/>
  <c r="AB27" i="1"/>
  <c r="AC230" i="1" s="1"/>
  <c r="W28" i="1"/>
  <c r="AI28" i="1"/>
  <c r="P29" i="1"/>
  <c r="Y31" i="1"/>
  <c r="N32" i="1"/>
  <c r="AH32" i="1"/>
  <c r="W33" i="1"/>
  <c r="L34" i="1"/>
  <c r="L236" i="1" s="1"/>
  <c r="AF34" i="1"/>
  <c r="U35" i="1"/>
  <c r="J36" i="1"/>
  <c r="AD36" i="1"/>
  <c r="S38" i="1"/>
  <c r="H39" i="1"/>
  <c r="AB39" i="1"/>
  <c r="S40" i="1"/>
  <c r="L41" i="1"/>
  <c r="G42" i="1"/>
  <c r="AE42" i="1"/>
  <c r="Z43" i="1"/>
  <c r="S45" i="1"/>
  <c r="N46" i="1"/>
  <c r="G47" i="1"/>
  <c r="AH47" i="1"/>
  <c r="L49" i="1"/>
  <c r="L50" i="1"/>
  <c r="U52" i="1"/>
  <c r="V53" i="1"/>
  <c r="J55" i="1"/>
  <c r="AA56" i="1"/>
  <c r="I60" i="1"/>
  <c r="K62" i="1"/>
  <c r="F66" i="1"/>
  <c r="P68" i="1"/>
  <c r="K71" i="1"/>
  <c r="M74" i="1"/>
  <c r="H77" i="1"/>
  <c r="Q236" i="1" l="1"/>
  <c r="E35" i="1"/>
  <c r="E28" i="1"/>
  <c r="AF236" i="1"/>
  <c r="P230" i="1"/>
  <c r="AA236" i="1"/>
  <c r="Y236" i="1"/>
  <c r="AB231" i="1"/>
  <c r="AI231" i="1"/>
  <c r="E34" i="1"/>
  <c r="F236" i="1" s="1"/>
  <c r="E224" i="1"/>
  <c r="E27" i="1"/>
  <c r="W230" i="1"/>
  <c r="AC236" i="1"/>
  <c r="K224" i="1"/>
  <c r="AF224" i="1"/>
  <c r="H236" i="1"/>
  <c r="U236" i="1"/>
  <c r="K231" i="1"/>
  <c r="M230" i="1"/>
  <c r="X230" i="1"/>
  <c r="AC225" i="1"/>
  <c r="AA224" i="1"/>
  <c r="AC224" i="1"/>
  <c r="E50" i="1"/>
  <c r="F231" i="1" s="1"/>
  <c r="E49" i="1"/>
  <c r="E46" i="1"/>
  <c r="E48" i="1"/>
  <c r="E47" i="1"/>
  <c r="E45" i="1"/>
  <c r="O225" i="1"/>
  <c r="G224" i="1"/>
  <c r="R224" i="1"/>
  <c r="H231" i="1"/>
  <c r="X225" i="1"/>
  <c r="AB237" i="1"/>
  <c r="N236" i="1"/>
  <c r="AG236" i="1"/>
  <c r="V231" i="1"/>
  <c r="E24" i="1"/>
  <c r="E31" i="1"/>
  <c r="L231" i="1"/>
  <c r="AH237" i="1"/>
  <c r="AF231" i="1"/>
  <c r="S224" i="1"/>
  <c r="AH230" i="1"/>
  <c r="S230" i="1"/>
  <c r="E25" i="1"/>
  <c r="E230" i="1" s="1"/>
  <c r="E32" i="1"/>
  <c r="I237" i="1"/>
  <c r="AA230" i="1"/>
  <c r="S231" i="1"/>
  <c r="K236" i="1"/>
  <c r="O230" i="1"/>
  <c r="M225" i="1"/>
  <c r="O236" i="1"/>
  <c r="N230" i="1"/>
  <c r="L230" i="1"/>
  <c r="AG231" i="1"/>
  <c r="K225" i="1"/>
  <c r="N237" i="1"/>
  <c r="H224" i="1"/>
  <c r="AG237" i="1"/>
  <c r="W231" i="1"/>
  <c r="O224" i="1"/>
  <c r="T237" i="1"/>
  <c r="Y225" i="1"/>
  <c r="P231" i="1"/>
  <c r="AI230" i="1"/>
  <c r="AD236" i="1"/>
  <c r="AF237" i="1"/>
  <c r="G225" i="1"/>
  <c r="M231" i="1"/>
  <c r="J224" i="1"/>
  <c r="W236" i="1"/>
  <c r="Q230" i="1"/>
  <c r="AE231" i="1"/>
  <c r="N225" i="1"/>
  <c r="AE236" i="1"/>
  <c r="AD237" i="1"/>
  <c r="I230" i="1"/>
  <c r="P236" i="1"/>
  <c r="AI236" i="1"/>
  <c r="O237" i="1"/>
  <c r="J236" i="1"/>
  <c r="Z225" i="1"/>
  <c r="Z237" i="1"/>
  <c r="S237" i="1"/>
  <c r="AD225" i="1"/>
  <c r="V236" i="1"/>
  <c r="L237" i="1"/>
  <c r="H237" i="1"/>
  <c r="J237" i="1"/>
  <c r="G236" i="1"/>
  <c r="AG230" i="1"/>
  <c r="V230" i="1"/>
  <c r="M224" i="1"/>
  <c r="AI224" i="1"/>
  <c r="Q225" i="1"/>
  <c r="W237" i="1"/>
  <c r="AA225" i="1"/>
  <c r="P237" i="1"/>
  <c r="U231" i="1"/>
  <c r="E33" i="1"/>
  <c r="E26" i="1"/>
  <c r="L225" i="1"/>
  <c r="AB230" i="1"/>
  <c r="AB225" i="1"/>
  <c r="AI237" i="1"/>
  <c r="K230" i="1"/>
  <c r="X236" i="1"/>
  <c r="AB236" i="1"/>
  <c r="AH225" i="1"/>
  <c r="M236" i="1"/>
  <c r="R236" i="1"/>
  <c r="F230" i="1" l="1"/>
</calcChain>
</file>

<file path=xl/sharedStrings.xml><?xml version="1.0" encoding="utf-8"?>
<sst xmlns="http://schemas.openxmlformats.org/spreadsheetml/2006/main" count="397" uniqueCount="60">
  <si>
    <r>
      <rPr>
        <sz val="11"/>
        <color rgb="FF000000"/>
        <rFont val="等线"/>
        <family val="3"/>
        <charset val="134"/>
      </rPr>
      <t>　</t>
    </r>
  </si>
  <si>
    <t>China Steel Module</t>
    <phoneticPr fontId="4" type="noConversion"/>
  </si>
  <si>
    <t>Options</t>
    <phoneticPr fontId="4" type="noConversion"/>
  </si>
  <si>
    <t>Energy Consumption</t>
    <phoneticPr fontId="4" type="noConversion"/>
  </si>
  <si>
    <t>(10,000 tons of standard coal)</t>
    <phoneticPr fontId="4" type="noConversion"/>
  </si>
  <si>
    <t>BAU</t>
    <phoneticPr fontId="4" type="noConversion"/>
  </si>
  <si>
    <t>BF-BOF</t>
    <phoneticPr fontId="4" type="noConversion"/>
  </si>
  <si>
    <t xml:space="preserve">DRI-EAF </t>
  </si>
  <si>
    <t xml:space="preserve">Scrap-EAF  </t>
  </si>
  <si>
    <t>DCS</t>
    <phoneticPr fontId="4" type="noConversion"/>
  </si>
  <si>
    <t>BF-BOF</t>
  </si>
  <si>
    <t>NES</t>
    <phoneticPr fontId="4" type="noConversion"/>
  </si>
  <si>
    <t>Energy Structure</t>
    <phoneticPr fontId="4" type="noConversion"/>
  </si>
  <si>
    <t>Industrial Fuel Used by Industry Unit: TPE</t>
    <phoneticPr fontId="4" type="noConversion"/>
  </si>
  <si>
    <t xml:space="preserve"> (Ten Thousand Tons of Standard Coal)</t>
    <phoneticPr fontId="4" type="noConversion"/>
  </si>
  <si>
    <t>Coking coal</t>
    <phoneticPr fontId="4" type="noConversion"/>
  </si>
  <si>
    <t>Natrual gas</t>
    <phoneticPr fontId="4" type="noConversion"/>
  </si>
  <si>
    <t xml:space="preserve">Biomass </t>
  </si>
  <si>
    <t>Electricity</t>
  </si>
  <si>
    <t>Heat</t>
  </si>
  <si>
    <t xml:space="preserve">Hydrogen </t>
  </si>
  <si>
    <t>DRI-EAF</t>
  </si>
  <si>
    <t>Scrap-EAF</t>
  </si>
  <si>
    <t>Comprehensive energy consumption per ton of steel</t>
    <phoneticPr fontId="4" type="noConversion"/>
  </si>
  <si>
    <t>(kg standard coal/ton of steel)</t>
    <phoneticPr fontId="4" type="noConversion"/>
  </si>
  <si>
    <t>Sracp-EAF</t>
  </si>
  <si>
    <t>Process Flow</t>
    <phoneticPr fontId="4" type="noConversion"/>
  </si>
  <si>
    <t>Hydrogen-based BF-BOF</t>
  </si>
  <si>
    <t xml:space="preserve">other BF_BOF </t>
    <phoneticPr fontId="16" type="noConversion"/>
  </si>
  <si>
    <t>Hydrogen-based DRI-EAF</t>
  </si>
  <si>
    <t>other DRI-EAF</t>
    <phoneticPr fontId="16" type="noConversion"/>
  </si>
  <si>
    <t>Hydrogen group ratio (BF-BOF/DRI-EAF)</t>
    <phoneticPr fontId="4" type="noConversion"/>
  </si>
  <si>
    <t>Hydrogen-based BF-BOF ratio</t>
    <phoneticPr fontId="16" type="noConversion"/>
  </si>
  <si>
    <t xml:space="preserve">Product output </t>
    <phoneticPr fontId="4" type="noConversion"/>
  </si>
  <si>
    <t>(10,000 tons)</t>
    <phoneticPr fontId="4" type="noConversion"/>
  </si>
  <si>
    <t>Hydrogen-based BF-BOF</t>
    <phoneticPr fontId="4" type="noConversion"/>
  </si>
  <si>
    <t>Hydrogen-based DRI-EAF</t>
    <phoneticPr fontId="4" type="noConversion"/>
  </si>
  <si>
    <t>Total crude steel</t>
    <phoneticPr fontId="21" type="noConversion"/>
  </si>
  <si>
    <t>Annual rate</t>
    <phoneticPr fontId="4" type="noConversion"/>
  </si>
  <si>
    <t>Emission factors</t>
    <phoneticPr fontId="4" type="noConversion"/>
  </si>
  <si>
    <t>（tCO2/tce）</t>
  </si>
  <si>
    <t>Biomass</t>
  </si>
  <si>
    <t>Electricity</t>
    <phoneticPr fontId="4" type="noConversion"/>
  </si>
  <si>
    <t>Heat</t>
    <phoneticPr fontId="4" type="noConversion"/>
  </si>
  <si>
    <t>CCS Deployment</t>
    <phoneticPr fontId="4" type="noConversion"/>
  </si>
  <si>
    <t>(CCS accounts for % of total production)</t>
    <phoneticPr fontId="4" type="noConversion"/>
  </si>
  <si>
    <t>CCS Deployment Percentage</t>
  </si>
  <si>
    <t>CCUS Emission Reduction (in ten thousand tCO2)</t>
  </si>
  <si>
    <t>Energy and raw material costs</t>
    <phoneticPr fontId="4" type="noConversion"/>
  </si>
  <si>
    <t>RMB (constant 2019 prices)/ton</t>
    <phoneticPr fontId="4" type="noConversion"/>
  </si>
  <si>
    <t>Iron ore</t>
  </si>
  <si>
    <t>Electricity cost</t>
  </si>
  <si>
    <t>Hydrogen price</t>
  </si>
  <si>
    <t>Price of first-grade metallurgical coke</t>
  </si>
  <si>
    <t>Price of scrap steel</t>
  </si>
  <si>
    <t>Changes in energy and raw material costs</t>
    <phoneticPr fontId="16" type="noConversion"/>
  </si>
  <si>
    <t>Technological transformation costs</t>
    <phoneticPr fontId="4" type="noConversion"/>
  </si>
  <si>
    <t>DRI-EAF</t>
    <phoneticPr fontId="4" type="noConversion"/>
  </si>
  <si>
    <t>Scrap-EAF</t>
    <phoneticPr fontId="4" type="noConversion"/>
  </si>
  <si>
    <t>CCS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</si>
</sst>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_(* #,##0_);_(* \(#,##0\);_(* &quot;-&quot;??_);_(@_)"/>
    <numFmt numFmtId="177" formatCode="0.00_);[Red]\(0.00\)"/>
    <numFmt numFmtId="178" formatCode="_(* #,##0.0_);_(* \(#,##0.0\);_(* &quot;-&quot;??_);_(@_)"/>
    <numFmt numFmtId="179" formatCode="0.0%"/>
    <numFmt numFmtId="180" formatCode="0_);[Red]\(0\)"/>
    <numFmt numFmtId="181" formatCode="0.000"/>
  </numFmts>
  <fonts count="2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9" tint="-0.249977111117893"/>
      <name val="Arial"/>
      <family val="2"/>
    </font>
    <font>
      <sz val="11"/>
      <color indexed="8"/>
      <name val="宋体"/>
      <family val="3"/>
      <charset val="134"/>
    </font>
    <font>
      <sz val="8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i/>
      <sz val="10"/>
      <color indexed="8"/>
      <name val="Arial"/>
      <family val="2"/>
    </font>
    <font>
      <sz val="9"/>
      <name val="宋体"/>
      <family val="3"/>
      <charset val="134"/>
    </font>
    <font>
      <i/>
      <sz val="10"/>
      <color theme="1"/>
      <name val="Arial"/>
      <family val="2"/>
    </font>
    <font>
      <sz val="11"/>
      <color theme="1" tint="4.9989318521683403E-2"/>
      <name val="Arial"/>
      <family val="2"/>
    </font>
    <font>
      <sz val="11"/>
      <color theme="0"/>
      <name val="等线"/>
      <family val="2"/>
      <charset val="134"/>
      <scheme val="minor"/>
    </font>
    <font>
      <b/>
      <sz val="10"/>
      <color theme="0"/>
      <name val="Arial"/>
      <family val="2"/>
    </font>
    <font>
      <sz val="9"/>
      <name val="等线"/>
      <family val="3"/>
      <charset val="134"/>
      <scheme val="minor"/>
    </font>
    <font>
      <sz val="11"/>
      <color theme="0" tint="-0.34998626667073579"/>
      <name val="Arial"/>
      <family val="2"/>
    </font>
    <font>
      <b/>
      <sz val="11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sz val="8"/>
      <color rgb="FF444444"/>
      <name val="Arial"/>
      <family val="2"/>
    </font>
    <font>
      <sz val="11"/>
      <color theme="1"/>
      <name val="等线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5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rgb="FF00000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2" borderId="1" applyNumberFormat="0" applyFont="0" applyAlignment="0" applyProtection="0">
      <alignment vertical="center"/>
    </xf>
    <xf numFmtId="0" fontId="11" fillId="0" borderId="0"/>
    <xf numFmtId="0" fontId="26" fillId="0" borderId="0"/>
    <xf numFmtId="0" fontId="26" fillId="0" borderId="0"/>
  </cellStyleXfs>
  <cellXfs count="76">
    <xf numFmtId="0" fontId="0" fillId="0" borderId="0" xfId="0">
      <alignment vertical="center"/>
    </xf>
    <xf numFmtId="0" fontId="2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6" fillId="0" borderId="0" xfId="0" applyFont="1">
      <alignment vertical="center"/>
    </xf>
    <xf numFmtId="0" fontId="5" fillId="6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0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0" fontId="10" fillId="0" borderId="0" xfId="0" applyFont="1">
      <alignment vertical="center"/>
    </xf>
    <xf numFmtId="0" fontId="12" fillId="7" borderId="0" xfId="4" applyFont="1" applyFill="1" applyAlignment="1">
      <alignment vertical="center"/>
    </xf>
    <xf numFmtId="0" fontId="5" fillId="8" borderId="2" xfId="0" applyFont="1" applyFill="1" applyBorder="1">
      <alignment vertical="center"/>
    </xf>
    <xf numFmtId="176" fontId="13" fillId="9" borderId="0" xfId="5" applyNumberFormat="1" applyFont="1" applyFill="1" applyBorder="1" applyAlignment="1">
      <alignment horizontal="left" vertical="center"/>
    </xf>
    <xf numFmtId="177" fontId="14" fillId="0" borderId="0" xfId="6" applyNumberFormat="1" applyFont="1" applyAlignment="1">
      <alignment horizontal="right" vertical="top"/>
    </xf>
    <xf numFmtId="0" fontId="12" fillId="7" borderId="0" xfId="4" quotePrefix="1" applyFont="1" applyFill="1" applyAlignment="1">
      <alignment vertical="center"/>
    </xf>
    <xf numFmtId="176" fontId="9" fillId="9" borderId="3" xfId="5" applyNumberFormat="1" applyFont="1" applyFill="1" applyBorder="1" applyAlignment="1">
      <alignment horizontal="center" vertical="center"/>
    </xf>
    <xf numFmtId="2" fontId="6" fillId="0" borderId="0" xfId="0" quotePrefix="1" applyNumberFormat="1" applyFont="1">
      <alignment vertical="center"/>
    </xf>
    <xf numFmtId="176" fontId="9" fillId="9" borderId="4" xfId="5" applyNumberFormat="1" applyFont="1" applyFill="1" applyBorder="1" applyAlignment="1">
      <alignment horizontal="center" vertical="center"/>
    </xf>
    <xf numFmtId="178" fontId="13" fillId="9" borderId="0" xfId="5" applyNumberFormat="1" applyFont="1" applyFill="1" applyBorder="1" applyAlignment="1">
      <alignment horizontal="left" vertical="center"/>
    </xf>
    <xf numFmtId="2" fontId="6" fillId="0" borderId="0" xfId="0" applyNumberFormat="1" applyFont="1">
      <alignment vertical="center"/>
    </xf>
    <xf numFmtId="1" fontId="6" fillId="0" borderId="0" xfId="0" applyNumberFormat="1" applyFont="1">
      <alignment vertical="center"/>
    </xf>
    <xf numFmtId="176" fontId="9" fillId="9" borderId="5" xfId="5" applyNumberFormat="1" applyFont="1" applyFill="1" applyBorder="1" applyAlignment="1">
      <alignment horizontal="center" vertical="center"/>
    </xf>
    <xf numFmtId="176" fontId="9" fillId="9" borderId="0" xfId="5" applyNumberFormat="1" applyFont="1" applyFill="1" applyBorder="1" applyAlignment="1">
      <alignment horizontal="center" vertical="center"/>
    </xf>
    <xf numFmtId="177" fontId="6" fillId="0" borderId="0" xfId="0" quotePrefix="1" applyNumberFormat="1" applyFont="1">
      <alignment vertical="center"/>
    </xf>
    <xf numFmtId="177" fontId="6" fillId="0" borderId="0" xfId="0" applyNumberFormat="1" applyFont="1">
      <alignment vertical="center"/>
    </xf>
    <xf numFmtId="179" fontId="6" fillId="0" borderId="0" xfId="1" applyNumberFormat="1" applyFont="1">
      <alignment vertical="center"/>
    </xf>
    <xf numFmtId="9" fontId="6" fillId="0" borderId="0" xfId="1" applyFont="1">
      <alignment vertical="center"/>
    </xf>
    <xf numFmtId="176" fontId="15" fillId="9" borderId="0" xfId="7" applyNumberFormat="1" applyFont="1" applyFill="1" applyBorder="1" applyAlignment="1">
      <alignment horizontal="left" vertical="top"/>
    </xf>
    <xf numFmtId="179" fontId="14" fillId="0" borderId="0" xfId="6" applyNumberFormat="1" applyFont="1" applyFill="1" applyBorder="1" applyAlignment="1"/>
    <xf numFmtId="176" fontId="17" fillId="10" borderId="0" xfId="7" applyNumberFormat="1" applyFont="1" applyFill="1" applyBorder="1" applyAlignment="1">
      <alignment horizontal="left" vertical="top"/>
    </xf>
    <xf numFmtId="179" fontId="6" fillId="10" borderId="0" xfId="6" applyNumberFormat="1" applyFont="1" applyFill="1" applyBorder="1" applyAlignment="1"/>
    <xf numFmtId="10" fontId="14" fillId="10" borderId="0" xfId="6" applyNumberFormat="1" applyFont="1" applyFill="1" applyBorder="1" applyAlignment="1"/>
    <xf numFmtId="179" fontId="14" fillId="0" borderId="0" xfId="6" applyNumberFormat="1" applyFont="1" applyAlignment="1"/>
    <xf numFmtId="179" fontId="18" fillId="10" borderId="0" xfId="6" applyNumberFormat="1" applyFont="1" applyFill="1" applyBorder="1" applyAlignment="1"/>
    <xf numFmtId="179" fontId="14" fillId="10" borderId="0" xfId="6" applyNumberFormat="1" applyFont="1" applyFill="1" applyBorder="1" applyAlignment="1"/>
    <xf numFmtId="179" fontId="14" fillId="0" borderId="1" xfId="8" applyNumberFormat="1" applyFont="1" applyFill="1" applyAlignment="1"/>
    <xf numFmtId="179" fontId="6" fillId="0" borderId="0" xfId="6" applyNumberFormat="1" applyFont="1" applyFill="1" applyBorder="1" applyAlignment="1"/>
    <xf numFmtId="10" fontId="14" fillId="0" borderId="0" xfId="6" applyNumberFormat="1" applyFont="1" applyAlignment="1"/>
    <xf numFmtId="10" fontId="6" fillId="0" borderId="0" xfId="0" applyNumberFormat="1" applyFont="1">
      <alignment vertical="center"/>
    </xf>
    <xf numFmtId="176" fontId="17" fillId="0" borderId="0" xfId="7" applyNumberFormat="1" applyFont="1" applyFill="1" applyBorder="1" applyAlignment="1">
      <alignment horizontal="left" vertical="top"/>
    </xf>
    <xf numFmtId="9" fontId="6" fillId="0" borderId="0" xfId="1" applyFont="1" applyFill="1">
      <alignment vertical="center"/>
    </xf>
    <xf numFmtId="9" fontId="6" fillId="0" borderId="0" xfId="2" applyNumberFormat="1" applyFont="1" applyFill="1">
      <alignment vertical="center"/>
    </xf>
    <xf numFmtId="0" fontId="13" fillId="0" borderId="0" xfId="4" applyFont="1"/>
    <xf numFmtId="180" fontId="15" fillId="9" borderId="0" xfId="7" applyNumberFormat="1" applyFont="1" applyFill="1" applyBorder="1" applyAlignment="1">
      <alignment horizontal="left" vertical="top"/>
    </xf>
    <xf numFmtId="180" fontId="15" fillId="10" borderId="0" xfId="7" applyNumberFormat="1" applyFont="1" applyFill="1" applyBorder="1" applyAlignment="1">
      <alignment horizontal="left" vertical="top"/>
    </xf>
    <xf numFmtId="1" fontId="6" fillId="10" borderId="0" xfId="0" applyNumberFormat="1" applyFont="1" applyFill="1">
      <alignment vertical="center"/>
    </xf>
    <xf numFmtId="180" fontId="20" fillId="4" borderId="0" xfId="3" applyNumberFormat="1" applyFont="1" applyBorder="1" applyAlignment="1">
      <alignment horizontal="left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80" fontId="24" fillId="0" borderId="0" xfId="3" applyNumberFormat="1" applyFont="1" applyFill="1" applyBorder="1" applyAlignment="1">
      <alignment horizontal="left" vertical="top"/>
    </xf>
    <xf numFmtId="1" fontId="22" fillId="0" borderId="0" xfId="0" applyNumberFormat="1" applyFont="1">
      <alignment vertical="center"/>
    </xf>
    <xf numFmtId="179" fontId="22" fillId="0" borderId="0" xfId="1" applyNumberFormat="1" applyFont="1">
      <alignment vertical="center"/>
    </xf>
    <xf numFmtId="179" fontId="6" fillId="0" borderId="0" xfId="1" applyNumberFormat="1" applyFont="1" applyFill="1">
      <alignment vertical="center"/>
    </xf>
    <xf numFmtId="0" fontId="13" fillId="0" borderId="0" xfId="9" applyFont="1" applyAlignment="1">
      <alignment vertical="center"/>
    </xf>
    <xf numFmtId="1" fontId="6" fillId="0" borderId="0" xfId="0" quotePrefix="1" applyNumberFormat="1" applyFont="1">
      <alignment vertical="center"/>
    </xf>
    <xf numFmtId="0" fontId="25" fillId="0" borderId="0" xfId="0" applyFont="1" applyAlignment="1">
      <alignment horizontal="right" vertical="center"/>
    </xf>
    <xf numFmtId="181" fontId="6" fillId="0" borderId="0" xfId="0" quotePrefix="1" applyNumberFormat="1" applyFont="1">
      <alignment vertical="center"/>
    </xf>
    <xf numFmtId="181" fontId="6" fillId="0" borderId="0" xfId="0" quotePrefix="1" applyNumberFormat="1" applyFont="1" applyAlignment="1">
      <alignment horizontal="right" vertical="center"/>
    </xf>
    <xf numFmtId="177" fontId="25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6" fillId="6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0" fontId="14" fillId="0" borderId="0" xfId="6" applyNumberFormat="1" applyFont="1" applyAlignment="1">
      <alignment horizontal="right" vertical="top"/>
    </xf>
    <xf numFmtId="0" fontId="2" fillId="11" borderId="0" xfId="0" applyFont="1" applyFill="1">
      <alignment vertical="center"/>
    </xf>
    <xf numFmtId="177" fontId="14" fillId="0" borderId="0" xfId="9" applyNumberFormat="1" applyFont="1"/>
    <xf numFmtId="2" fontId="6" fillId="0" borderId="0" xfId="10" applyNumberFormat="1" applyFont="1"/>
    <xf numFmtId="0" fontId="5" fillId="0" borderId="2" xfId="0" applyFont="1" applyBorder="1">
      <alignment vertical="center"/>
    </xf>
    <xf numFmtId="0" fontId="5" fillId="8" borderId="0" xfId="0" applyFont="1" applyFill="1">
      <alignment vertical="center"/>
    </xf>
    <xf numFmtId="0" fontId="9" fillId="0" borderId="0" xfId="10" applyFont="1"/>
    <xf numFmtId="2" fontId="6" fillId="0" borderId="0" xfId="11" applyNumberFormat="1" applyFont="1"/>
    <xf numFmtId="177" fontId="13" fillId="0" borderId="0" xfId="9" applyNumberFormat="1" applyFont="1" applyAlignment="1">
      <alignment horizontal="left"/>
    </xf>
    <xf numFmtId="177" fontId="6" fillId="0" borderId="0" xfId="11" applyNumberFormat="1" applyFont="1"/>
    <xf numFmtId="177" fontId="9" fillId="0" borderId="0" xfId="11" applyNumberFormat="1" applyFont="1"/>
  </cellXfs>
  <cellStyles count="12">
    <cellStyle name="Normal 5" xfId="4" xr:uid="{D66033C7-FAC7-9944-843B-1EAF8C3BB10E}"/>
    <cellStyle name="百分比" xfId="1" builtinId="5"/>
    <cellStyle name="百分比 2" xfId="6" xr:uid="{C4E56520-3095-F74D-961F-EF89B740FA9C}"/>
    <cellStyle name="常规" xfId="0" builtinId="0"/>
    <cellStyle name="常规 3" xfId="9" xr:uid="{77B997A6-CA50-7F43-A147-695654625FBD}"/>
    <cellStyle name="常规 5" xfId="10" xr:uid="{FBA621B8-3526-3548-B240-8B68E1A9F122}"/>
    <cellStyle name="常规 5 3" xfId="11" xr:uid="{E97CE92A-678D-164D-9F6B-33D944FE48FE}"/>
    <cellStyle name="千位分隔 2 2" xfId="5" xr:uid="{52461146-2AEB-424F-BD0A-BD8E4C2A2B9C}"/>
    <cellStyle name="千位分隔 3" xfId="7" xr:uid="{8B472FDE-EBE5-2543-858A-8E8DE166CFD5}"/>
    <cellStyle name="着色 4" xfId="2" builtinId="41"/>
    <cellStyle name="着色 6" xfId="3" builtinId="49"/>
    <cellStyle name="注释 2" xfId="8" xr:uid="{2739DF01-7D0F-054F-96B6-3AD2E2C7D1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6e4027b99a52c32/CBAM-Steel&#25991;&#31456;/0-iScience/&#19968;&#36718;&#21453;&#20462;/0-&#19978;&#20256;&#25968;&#25454;CBAM&#24773;&#26223;&#35774;&#35745;-live.xlsm" TargetMode="External"/><Relationship Id="rId1" Type="http://schemas.openxmlformats.org/officeDocument/2006/relationships/externalLinkPath" Target="https://d.docs.live.net/a6e4027b99a52c32/CBAM-Steel&#25991;&#31456;/0-iScience/&#19968;&#36718;&#21453;&#20462;/0-&#19978;&#20256;&#25968;&#25454;CBAM&#24773;&#26223;&#35774;&#35745;-liv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Xi%20Xi/iGDP%20Dropbox/Xi%20Xi/IFS%20Programs/&#23433;&#24509;&#30465;/EPS&#23433;&#24509;/InputData/plcy-schd/FoPITY/Frac%20of%20Pol%20Impl%20This%20Yr%20-%201%20-%20Defa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情景"/>
      <sheetName val="Sheet2"/>
      <sheetName val="Sheet3"/>
      <sheetName val="DIY-Scenario setting(CBAM模块)"/>
      <sheetName val="DIY-Scenario setting(钢铁模块)"/>
      <sheetName val="DIY-Quantitative Results"/>
      <sheetName val="DIY结果对比"/>
      <sheetName val="Figure6"/>
      <sheetName val="1-Quantitative Results-All mode"/>
      <sheetName val="2-Quantitative Results-CBAM"/>
      <sheetName val="3-Quantitative Results-中国钢铁行业"/>
      <sheetName val="4-参数汇总"/>
      <sheetName val="5-情景组合"/>
      <sheetName val="5-情景组合(图示)"/>
      <sheetName val="情景对比"/>
      <sheetName val="情景对比_碳排放量及减排成本"/>
      <sheetName val="情景结果绘图"/>
      <sheetName val="情景结果绘图_碳排放量及减排成本"/>
      <sheetName val="对照表"/>
      <sheetName val="5.1 Inflation and Exchange Rate"/>
      <sheetName val="5.2.1 CBAM-Carbon market"/>
      <sheetName val="5.2.2 CBAM - Mechanism Rules"/>
      <sheetName val="5.3.1 Steel Industry Parameters"/>
      <sheetName val="5.3.1 绘图"/>
      <sheetName val="5.3.2 Emissions and intensity"/>
      <sheetName val="5.2 附表1"/>
      <sheetName val="5.2 附表2 中国碳市场免费配额基准值 "/>
      <sheetName val="5.3 附表1-能源结构"/>
      <sheetName val="5.3 附表2-钢铁行业基础数据"/>
      <sheetName val="Sheet1"/>
      <sheetName val="CBAM免费配额基准值-废"/>
      <sheetName val="5.2 附表2000-2050EU27_Import_CHZ"/>
      <sheetName val="raw2000-2022EU27_Import_CHZ"/>
      <sheetName val="保留-ETS碳价"/>
      <sheetName val="吨粗钢减排成本 -BAU (3)"/>
      <sheetName val="单项成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44">
          <cell r="D44">
            <v>0.9</v>
          </cell>
          <cell r="E44">
            <v>0.89865000000000006</v>
          </cell>
          <cell r="F44">
            <v>0.89730202500000011</v>
          </cell>
          <cell r="G44">
            <v>0.89595607196250016</v>
          </cell>
          <cell r="H44">
            <v>0.8946121378545564</v>
          </cell>
          <cell r="I44">
            <v>0.89327021964777464</v>
          </cell>
          <cell r="J44">
            <v>0.89193031431830305</v>
          </cell>
          <cell r="K44">
            <v>0.89059241884682561</v>
          </cell>
          <cell r="L44">
            <v>0.88925653021855544</v>
          </cell>
          <cell r="M44">
            <v>0.88792264542322763</v>
          </cell>
          <cell r="N44">
            <v>0.88659076145509286</v>
          </cell>
          <cell r="O44">
            <v>0.88526087531291031</v>
          </cell>
          <cell r="P44">
            <v>0.88393298399994102</v>
          </cell>
          <cell r="Q44">
            <v>0.88260708452394121</v>
          </cell>
          <cell r="R44">
            <v>0.88128317389715538</v>
          </cell>
          <cell r="S44">
            <v>0.87996124913630969</v>
          </cell>
          <cell r="T44">
            <v>0.87864130726260525</v>
          </cell>
          <cell r="U44">
            <v>0.87732334530171141</v>
          </cell>
          <cell r="V44">
            <v>0.87600736028375892</v>
          </cell>
          <cell r="W44">
            <v>0.87469334924333331</v>
          </cell>
          <cell r="X44">
            <v>0.87338130921946833</v>
          </cell>
          <cell r="Y44">
            <v>0.87207123725563918</v>
          </cell>
          <cell r="Z44">
            <v>0.87076313039975572</v>
          </cell>
          <cell r="AA44">
            <v>0.86945698570415619</v>
          </cell>
          <cell r="AB44">
            <v>0.86815280022560004</v>
          </cell>
          <cell r="AC44">
            <v>0.85947127222334407</v>
          </cell>
          <cell r="AD44">
            <v>0.85087655950111063</v>
          </cell>
          <cell r="AE44">
            <v>0.8423677939060995</v>
          </cell>
          <cell r="AF44">
            <v>0.83394411596703855</v>
          </cell>
          <cell r="AG44">
            <v>0.8256046748073681</v>
          </cell>
          <cell r="AH44">
            <v>0.8</v>
          </cell>
        </row>
        <row r="45">
          <cell r="D45">
            <v>0.01</v>
          </cell>
          <cell r="E45">
            <v>0.01</v>
          </cell>
          <cell r="F45">
            <v>0.01</v>
          </cell>
          <cell r="G45">
            <v>0.01</v>
          </cell>
          <cell r="H45">
            <v>0.01</v>
          </cell>
          <cell r="I45">
            <v>0.01</v>
          </cell>
          <cell r="J45">
            <v>0.01</v>
          </cell>
          <cell r="K45">
            <v>0.01</v>
          </cell>
          <cell r="L45">
            <v>0.01</v>
          </cell>
          <cell r="M45">
            <v>0.01</v>
          </cell>
          <cell r="N45">
            <v>0.01</v>
          </cell>
          <cell r="O45">
            <v>0.01</v>
          </cell>
          <cell r="P45">
            <v>0.01</v>
          </cell>
          <cell r="Q45">
            <v>0.01</v>
          </cell>
          <cell r="R45">
            <v>0.01</v>
          </cell>
          <cell r="S45">
            <v>0.01</v>
          </cell>
          <cell r="T45">
            <v>0.01</v>
          </cell>
          <cell r="U45">
            <v>0.01</v>
          </cell>
          <cell r="V45">
            <v>0.01</v>
          </cell>
          <cell r="W45">
            <v>0.01</v>
          </cell>
          <cell r="X45">
            <v>0.01</v>
          </cell>
          <cell r="Y45">
            <v>0.01</v>
          </cell>
          <cell r="Z45">
            <v>0.01</v>
          </cell>
          <cell r="AA45">
            <v>0.01</v>
          </cell>
          <cell r="AB45">
            <v>0.01</v>
          </cell>
          <cell r="AC45">
            <v>0.01</v>
          </cell>
          <cell r="AD45">
            <v>0.01</v>
          </cell>
          <cell r="AE45">
            <v>0.01</v>
          </cell>
          <cell r="AF45">
            <v>0.01</v>
          </cell>
          <cell r="AG45">
            <v>0.01</v>
          </cell>
          <cell r="AH45">
            <v>0.01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D47">
            <v>0.08</v>
          </cell>
          <cell r="E47">
            <v>8.1231361192136683E-2</v>
          </cell>
          <cell r="F47">
            <v>8.255722333268771E-2</v>
          </cell>
          <cell r="G47">
            <v>8.3876941937352997E-2</v>
          </cell>
          <cell r="H47">
            <v>8.5189751826932003E-2</v>
          </cell>
          <cell r="I47">
            <v>8.649474463208906E-2</v>
          </cell>
          <cell r="J47">
            <v>8.779084210527438E-2</v>
          </cell>
          <cell r="K47">
            <v>8.9076764458303342E-2</v>
          </cell>
          <cell r="L47">
            <v>9.0350992798436863E-2</v>
          </cell>
          <cell r="M47">
            <v>9.1611724562994296E-2</v>
          </cell>
          <cell r="N47">
            <v>9.2856820647507249E-2</v>
          </cell>
          <cell r="O47">
            <v>9.4083742679191076E-2</v>
          </cell>
          <cell r="P47">
            <v>9.5289478598937688E-2</v>
          </cell>
          <cell r="Q47">
            <v>9.6470454372677414E-2</v>
          </cell>
          <cell r="R47">
            <v>9.7622429246790543E-2</v>
          </cell>
          <cell r="S47">
            <v>9.8740371480374609E-2</v>
          </cell>
          <cell r="T47">
            <v>9.9818310915486472E-2</v>
          </cell>
          <cell r="U47">
            <v>0.10084916406823405</v>
          </cell>
          <cell r="V47">
            <v>0.10182452661893134</v>
          </cell>
          <cell r="W47">
            <v>0.10273442722489091</v>
          </cell>
          <cell r="X47">
            <v>0.10356703544685431</v>
          </cell>
          <cell r="Y47">
            <v>0.10430831523638999</v>
          </cell>
          <cell r="Z47">
            <v>0.10494161383747208</v>
          </cell>
          <cell r="AA47">
            <v>0.10544717406421231</v>
          </cell>
          <cell r="AB47">
            <v>0.10580155567297528</v>
          </cell>
          <cell r="AC47">
            <v>0.11335624768706935</v>
          </cell>
          <cell r="AD47">
            <v>0.12061409562637319</v>
          </cell>
          <cell r="AE47">
            <v>0.1275368207801727</v>
          </cell>
          <cell r="AF47">
            <v>0.13407883924755082</v>
          </cell>
          <cell r="AG47">
            <v>0.14018590204197034</v>
          </cell>
          <cell r="AH47">
            <v>0.16</v>
          </cell>
        </row>
        <row r="48">
          <cell r="D48">
            <v>0.01</v>
          </cell>
          <cell r="E48">
            <v>0.01</v>
          </cell>
          <cell r="F48">
            <v>0.01</v>
          </cell>
          <cell r="G48">
            <v>0.01</v>
          </cell>
          <cell r="H48">
            <v>0.01</v>
          </cell>
          <cell r="I48">
            <v>0.01</v>
          </cell>
          <cell r="J48">
            <v>0.01</v>
          </cell>
          <cell r="K48">
            <v>0.01</v>
          </cell>
          <cell r="L48">
            <v>0.01</v>
          </cell>
          <cell r="M48">
            <v>0.01</v>
          </cell>
          <cell r="N48">
            <v>0.01</v>
          </cell>
          <cell r="O48">
            <v>0.01</v>
          </cell>
          <cell r="P48">
            <v>0.01</v>
          </cell>
          <cell r="Q48">
            <v>0.01</v>
          </cell>
          <cell r="R48">
            <v>0.01</v>
          </cell>
          <cell r="S48">
            <v>0.01</v>
          </cell>
          <cell r="T48">
            <v>0.01</v>
          </cell>
          <cell r="U48">
            <v>0.01</v>
          </cell>
          <cell r="V48">
            <v>0.01</v>
          </cell>
          <cell r="W48">
            <v>0.01</v>
          </cell>
          <cell r="X48">
            <v>0.01</v>
          </cell>
          <cell r="Y48">
            <v>0.01</v>
          </cell>
          <cell r="Z48">
            <v>0.01</v>
          </cell>
          <cell r="AA48">
            <v>0.01</v>
          </cell>
          <cell r="AB48">
            <v>0.01</v>
          </cell>
          <cell r="AC48">
            <v>0.01</v>
          </cell>
          <cell r="AD48">
            <v>0.01</v>
          </cell>
          <cell r="AE48">
            <v>0.01</v>
          </cell>
          <cell r="AF48">
            <v>0.01</v>
          </cell>
          <cell r="AG48">
            <v>0.01</v>
          </cell>
          <cell r="AH48">
            <v>0.01</v>
          </cell>
        </row>
        <row r="49">
          <cell r="D49">
            <v>1E-4</v>
          </cell>
          <cell r="E49">
            <v>1.1863880786327352E-4</v>
          </cell>
          <cell r="F49">
            <v>1.407516673121873E-4</v>
          </cell>
          <cell r="G49">
            <v>1.6698610014685984E-4</v>
          </cell>
          <cell r="H49">
            <v>1.9811031851160656E-4</v>
          </cell>
          <cell r="I49">
            <v>2.3503572013630411E-4</v>
          </cell>
          <cell r="J49">
            <v>2.7884357642257111E-4</v>
          </cell>
          <cell r="K49">
            <v>3.3081669487105441E-4</v>
          </cell>
          <cell r="L49">
            <v>3.9247698300770209E-4</v>
          </cell>
          <cell r="M49">
            <v>4.6563001377808037E-4</v>
          </cell>
          <cell r="N49">
            <v>5.5241789739991082E-4</v>
          </cell>
          <cell r="O49">
            <v>6.5538200789861561E-4</v>
          </cell>
          <cell r="P49">
            <v>7.7753740112130264E-4</v>
          </cell>
          <cell r="Q49">
            <v>9.224611033813926E-4</v>
          </cell>
          <cell r="R49">
            <v>1.0943968560540834E-3</v>
          </cell>
          <cell r="S49">
            <v>1.29837938331571E-3</v>
          </cell>
          <cell r="T49">
            <v>1.5403818219082808E-3</v>
          </cell>
          <cell r="U49">
            <v>1.8274906300545573E-3</v>
          </cell>
          <cell r="V49">
            <v>2.1681130973097529E-3</v>
          </cell>
          <cell r="W49">
            <v>2.5722235317757859E-3</v>
          </cell>
          <cell r="X49">
            <v>3.0516553336773829E-3</v>
          </cell>
          <cell r="Y49">
            <v>3.6204475079708487E-3</v>
          </cell>
          <cell r="Z49">
            <v>4.2952557627722095E-3</v>
          </cell>
          <cell r="AA49">
            <v>5.0958402316315056E-3</v>
          </cell>
          <cell r="AB49">
            <v>6.0456441014246944E-3</v>
          </cell>
          <cell r="AC49">
            <v>7.1724800895865718E-3</v>
          </cell>
          <cell r="AD49">
            <v>8.509344872516162E-3</v>
          </cell>
          <cell r="AE49">
            <v>1.0095385313727766E-2</v>
          </cell>
          <cell r="AF49">
            <v>1.1977044785410618E-2</v>
          </cell>
          <cell r="AG49">
            <v>1.4209423150661524E-2</v>
          </cell>
          <cell r="AH49">
            <v>0.02</v>
          </cell>
        </row>
        <row r="98">
          <cell r="D98">
            <v>0.9</v>
          </cell>
          <cell r="E98">
            <v>0.89658698042235063</v>
          </cell>
          <cell r="F98">
            <v>0.89318690384763166</v>
          </cell>
          <cell r="G98">
            <v>0.88979972119281836</v>
          </cell>
          <cell r="H98">
            <v>0.88642538356102052</v>
          </cell>
          <cell r="I98">
            <v>0.88306384224077705</v>
          </cell>
          <cell r="J98">
            <v>0.87971504870535255</v>
          </cell>
          <cell r="K98">
            <v>0.87637895461203685</v>
          </cell>
          <cell r="L98">
            <v>0.87305551180144714</v>
          </cell>
          <cell r="M98">
            <v>0.86974467229683261</v>
          </cell>
          <cell r="N98">
            <v>0.86644638830338228</v>
          </cell>
          <cell r="O98">
            <v>0.86316061220753448</v>
          </cell>
          <cell r="P98">
            <v>0.85988729657628993</v>
          </cell>
          <cell r="Q98">
            <v>0.85662639415652675</v>
          </cell>
          <cell r="R98">
            <v>0.85337785787431852</v>
          </cell>
          <cell r="S98">
            <v>0.85014164083425459</v>
          </cell>
          <cell r="T98">
            <v>0.84691769631876312</v>
          </cell>
          <cell r="U98">
            <v>0.84370597778743683</v>
          </cell>
          <cell r="V98">
            <v>0.8405064388763609</v>
          </cell>
          <cell r="W98">
            <v>0.83731903339744385</v>
          </cell>
          <cell r="X98">
            <v>0.83414371533775056</v>
          </cell>
          <cell r="Y98">
            <v>0.83098043885883843</v>
          </cell>
          <cell r="Z98">
            <v>0.82782915829609527</v>
          </cell>
          <cell r="AA98">
            <v>0.82468982815808023</v>
          </cell>
          <cell r="AB98">
            <v>0.82156240312586704</v>
          </cell>
          <cell r="AC98">
            <v>0.81844683805239005</v>
          </cell>
          <cell r="AD98">
            <v>0.81534308796179222</v>
          </cell>
          <cell r="AE98">
            <v>0.81225110804877587</v>
          </cell>
          <cell r="AF98">
            <v>0.80917085367795605</v>
          </cell>
          <cell r="AG98">
            <v>0.80610228038321596</v>
          </cell>
        </row>
        <row r="99">
          <cell r="D99">
            <v>0.01</v>
          </cell>
          <cell r="E99">
            <v>1.0360745555722939E-2</v>
          </cell>
          <cell r="F99">
            <v>1.0734504847043263E-2</v>
          </cell>
          <cell r="G99">
            <v>1.1121747338688983E-2</v>
          </cell>
          <cell r="H99">
            <v>1.152295943111953E-2</v>
          </cell>
          <cell r="I99">
            <v>1.1938645071474739E-2</v>
          </cell>
          <cell r="J99">
            <v>1.2369326386563547E-2</v>
          </cell>
          <cell r="K99">
            <v>1.2815544338687474E-2</v>
          </cell>
          <cell r="L99">
            <v>1.3277859405122652E-2</v>
          </cell>
          <cell r="M99">
            <v>1.3756852282113855E-2</v>
          </cell>
          <cell r="N99">
            <v>1.425312461426481E-2</v>
          </cell>
          <cell r="O99">
            <v>1.4767299750240936E-2</v>
          </cell>
          <cell r="P99">
            <v>1.5300023525733725E-2</v>
          </cell>
          <cell r="Q99">
            <v>1.585196507467021E-2</v>
          </cell>
          <cell r="R99">
            <v>1.6423817669686463E-2</v>
          </cell>
          <cell r="S99">
            <v>1.7016299592920791E-2</v>
          </cell>
          <cell r="T99">
            <v>1.7630155038220414E-2</v>
          </cell>
          <cell r="U99">
            <v>1.8266155045894853E-2</v>
          </cell>
          <cell r="V99">
            <v>1.8925098471190123E-2</v>
          </cell>
          <cell r="W99">
            <v>1.9607812987700205E-2</v>
          </cell>
          <cell r="X99">
            <v>2.0315156126976142E-2</v>
          </cell>
          <cell r="Y99">
            <v>2.104801635563857E-2</v>
          </cell>
          <cell r="Z99">
            <v>2.1807314191346603E-2</v>
          </cell>
          <cell r="AA99">
            <v>2.2594003359024808E-2</v>
          </cell>
          <cell r="AB99">
            <v>2.3409071988800541E-2</v>
          </cell>
          <cell r="AC99">
            <v>2.4253543857156355E-2</v>
          </cell>
          <cell r="AD99">
            <v>2.5128479672856408E-2</v>
          </cell>
          <cell r="AE99">
            <v>2.6034978409262124E-2</v>
          </cell>
          <cell r="AF99">
            <v>2.6974178684710522E-2</v>
          </cell>
          <cell r="AG99">
            <v>2.7947260192689099E-2</v>
          </cell>
        </row>
        <row r="100">
          <cell r="D100">
            <v>0</v>
          </cell>
          <cell r="E100">
            <v>1.1000000000000001E-3</v>
          </cell>
          <cell r="F100">
            <v>1.1000000000000001E-3</v>
          </cell>
          <cell r="G100">
            <v>1.1000000000000001E-3</v>
          </cell>
          <cell r="H100">
            <v>1.1000000000000001E-3</v>
          </cell>
          <cell r="I100">
            <v>1.1000000000000001E-3</v>
          </cell>
          <cell r="J100">
            <v>1.1000000000000001E-3</v>
          </cell>
          <cell r="K100">
            <v>1.1000000000000001E-3</v>
          </cell>
          <cell r="L100">
            <v>1.1000000000000001E-3</v>
          </cell>
          <cell r="M100">
            <v>1.1000000000000001E-3</v>
          </cell>
          <cell r="N100">
            <v>1.1000000000000001E-3</v>
          </cell>
          <cell r="O100">
            <v>1.1000000000000001E-3</v>
          </cell>
          <cell r="P100">
            <v>1.1000000000000001E-3</v>
          </cell>
          <cell r="Q100">
            <v>1.1000000000000001E-3</v>
          </cell>
          <cell r="R100">
            <v>1.1000000000000001E-3</v>
          </cell>
          <cell r="S100">
            <v>1.1000000000000001E-3</v>
          </cell>
          <cell r="T100">
            <v>1.1000000000000001E-3</v>
          </cell>
          <cell r="U100">
            <v>1.1000000000000001E-3</v>
          </cell>
          <cell r="V100">
            <v>1.1000000000000001E-3</v>
          </cell>
          <cell r="W100">
            <v>1.1000000000000001E-3</v>
          </cell>
          <cell r="X100">
            <v>1.1000000000000001E-3</v>
          </cell>
          <cell r="Y100">
            <v>1.1000000000000001E-3</v>
          </cell>
          <cell r="Z100">
            <v>1.1000000000000001E-3</v>
          </cell>
          <cell r="AA100">
            <v>1.1000000000000001E-3</v>
          </cell>
          <cell r="AB100">
            <v>1.1000000000000001E-3</v>
          </cell>
          <cell r="AC100">
            <v>1.1000000000000001E-3</v>
          </cell>
          <cell r="AD100">
            <v>1.1000000000000001E-3</v>
          </cell>
          <cell r="AE100">
            <v>1.1000000000000001E-3</v>
          </cell>
          <cell r="AF100">
            <v>1.1000000000000001E-3</v>
          </cell>
          <cell r="AG100">
            <v>1.1000000000000001E-3</v>
          </cell>
        </row>
        <row r="101">
          <cell r="D101">
            <v>0.08</v>
          </cell>
          <cell r="E101">
            <v>8.2052274021926427E-2</v>
          </cell>
          <cell r="F101">
            <v>0.1177</v>
          </cell>
          <cell r="G101">
            <v>0.1201</v>
          </cell>
          <cell r="H101">
            <v>0.12239999999999999</v>
          </cell>
          <cell r="I101">
            <v>0.12479999999999999</v>
          </cell>
          <cell r="J101">
            <v>0.12759999999999999</v>
          </cell>
          <cell r="K101">
            <v>0.12970000000000001</v>
          </cell>
          <cell r="L101">
            <v>0.13200000000000001</v>
          </cell>
          <cell r="M101">
            <v>0.1351</v>
          </cell>
          <cell r="N101">
            <v>0.13780000000000001</v>
          </cell>
          <cell r="O101">
            <v>0.1404</v>
          </cell>
          <cell r="P101">
            <v>0.14280000000000001</v>
          </cell>
          <cell r="Q101">
            <v>0.1452</v>
          </cell>
          <cell r="R101">
            <v>0.14729999999999999</v>
          </cell>
          <cell r="S101">
            <v>0.14979999999999999</v>
          </cell>
          <cell r="T101">
            <v>0.15229999999999999</v>
          </cell>
          <cell r="U101">
            <v>0.1552</v>
          </cell>
          <cell r="V101">
            <v>0.15720000000000001</v>
          </cell>
          <cell r="W101">
            <v>0.15989999999999999</v>
          </cell>
          <cell r="X101">
            <v>0.16270000000000001</v>
          </cell>
          <cell r="Y101">
            <v>0.16550000000000001</v>
          </cell>
          <cell r="Z101">
            <v>0.16930000000000001</v>
          </cell>
          <cell r="AA101">
            <v>0.17249999999999999</v>
          </cell>
          <cell r="AB101">
            <v>0.1754</v>
          </cell>
          <cell r="AC101">
            <v>0.1792</v>
          </cell>
          <cell r="AD101">
            <v>0.18260000000000001</v>
          </cell>
          <cell r="AE101">
            <v>0.18629999999999999</v>
          </cell>
          <cell r="AF101">
            <v>0.18959999999999999</v>
          </cell>
          <cell r="AG101">
            <v>0.19270000000000001</v>
          </cell>
        </row>
        <row r="102">
          <cell r="D102">
            <v>0.01</v>
          </cell>
          <cell r="E102">
            <v>9.2999999999999992E-3</v>
          </cell>
          <cell r="F102">
            <v>9.2999999999999992E-3</v>
          </cell>
          <cell r="G102">
            <v>9.2999999999999992E-3</v>
          </cell>
          <cell r="H102">
            <v>9.1999999999999998E-3</v>
          </cell>
          <cell r="I102">
            <v>9.2999999999999992E-3</v>
          </cell>
          <cell r="J102">
            <v>9.1999999999999998E-3</v>
          </cell>
          <cell r="K102">
            <v>9.2999999999999992E-3</v>
          </cell>
          <cell r="L102">
            <v>9.2999999999999992E-3</v>
          </cell>
          <cell r="M102">
            <v>9.2999999999999992E-3</v>
          </cell>
          <cell r="N102">
            <v>9.2999999999999992E-3</v>
          </cell>
          <cell r="O102">
            <v>9.2999999999999992E-3</v>
          </cell>
          <cell r="P102">
            <v>9.1999999999999998E-3</v>
          </cell>
          <cell r="Q102">
            <v>9.2999999999999992E-3</v>
          </cell>
          <cell r="R102">
            <v>9.1999999999999998E-3</v>
          </cell>
          <cell r="S102">
            <v>9.1999999999999998E-3</v>
          </cell>
          <cell r="T102">
            <v>9.1999999999999998E-3</v>
          </cell>
          <cell r="U102">
            <v>9.1999999999999998E-3</v>
          </cell>
          <cell r="V102">
            <v>9.1999999999999998E-3</v>
          </cell>
          <cell r="W102">
            <v>9.1999999999999998E-3</v>
          </cell>
          <cell r="X102">
            <v>9.1999999999999998E-3</v>
          </cell>
          <cell r="Y102">
            <v>9.1999999999999998E-3</v>
          </cell>
          <cell r="Z102">
            <v>9.1999999999999998E-3</v>
          </cell>
          <cell r="AA102">
            <v>9.1999999999999998E-3</v>
          </cell>
          <cell r="AB102">
            <v>9.1999999999999998E-3</v>
          </cell>
          <cell r="AC102">
            <v>9.1999999999999998E-3</v>
          </cell>
          <cell r="AD102">
            <v>9.1999999999999998E-3</v>
          </cell>
          <cell r="AE102">
            <v>9.1999999999999998E-3</v>
          </cell>
          <cell r="AF102">
            <v>9.1999999999999998E-3</v>
          </cell>
          <cell r="AG102">
            <v>9.1999999999999998E-3</v>
          </cell>
        </row>
        <row r="103">
          <cell r="D103">
            <v>1E-4</v>
          </cell>
          <cell r="E103">
            <v>0</v>
          </cell>
          <cell r="F103">
            <v>1.1000000000000001E-3</v>
          </cell>
          <cell r="G103">
            <v>2.0999999999999999E-3</v>
          </cell>
          <cell r="H103">
            <v>3.2000000000000002E-3</v>
          </cell>
          <cell r="I103">
            <v>4.1999999999999997E-3</v>
          </cell>
          <cell r="J103">
            <v>5.3E-3</v>
          </cell>
          <cell r="K103">
            <v>6.3E-3</v>
          </cell>
          <cell r="L103">
            <v>7.4000000000000003E-3</v>
          </cell>
          <cell r="M103">
            <v>8.5000000000000006E-3</v>
          </cell>
          <cell r="N103">
            <v>9.4999999999999998E-3</v>
          </cell>
          <cell r="O103">
            <v>1.06E-2</v>
          </cell>
          <cell r="P103">
            <v>1.1599999999999999E-2</v>
          </cell>
          <cell r="Q103">
            <v>1.2699999999999999E-2</v>
          </cell>
          <cell r="R103">
            <v>1.37E-2</v>
          </cell>
          <cell r="S103">
            <v>1.4800000000000001E-2</v>
          </cell>
          <cell r="T103">
            <v>1.5800000000000002E-2</v>
          </cell>
          <cell r="U103">
            <v>1.6899999999999998E-2</v>
          </cell>
          <cell r="V103">
            <v>1.7899999999999999E-2</v>
          </cell>
          <cell r="W103">
            <v>1.9E-2</v>
          </cell>
          <cell r="X103">
            <v>0.02</v>
          </cell>
          <cell r="Y103">
            <v>2.1100000000000001E-2</v>
          </cell>
          <cell r="Z103">
            <v>2.2100000000000002E-2</v>
          </cell>
          <cell r="AA103">
            <v>2.3099999999999999E-2</v>
          </cell>
          <cell r="AB103">
            <v>2.41E-2</v>
          </cell>
          <cell r="AC103">
            <v>2.5100000000000001E-2</v>
          </cell>
          <cell r="AD103">
            <v>2.6100000000000002E-2</v>
          </cell>
          <cell r="AE103">
            <v>2.7099999999999999E-2</v>
          </cell>
          <cell r="AF103">
            <v>2.81E-2</v>
          </cell>
          <cell r="AG103">
            <v>2.9100000000000001E-2</v>
          </cell>
        </row>
        <row r="152">
          <cell r="D152">
            <v>0.9</v>
          </cell>
          <cell r="E152">
            <v>0.89273326985074253</v>
          </cell>
          <cell r="F152">
            <v>0.88552521233155401</v>
          </cell>
          <cell r="G152">
            <v>0.87837535371113473</v>
          </cell>
          <cell r="H152">
            <v>0.87128322408315984</v>
          </cell>
          <cell r="I152">
            <v>0.86424835733539607</v>
          </cell>
          <cell r="J152">
            <v>0.85727029111906783</v>
          </cell>
          <cell r="K152">
            <v>0.85034856681847037</v>
          </cell>
          <cell r="L152">
            <v>0.84348272952082848</v>
          </cell>
          <cell r="M152">
            <v>0.83667232798639846</v>
          </cell>
          <cell r="N152">
            <v>0.82991691461881156</v>
          </cell>
          <cell r="O152">
            <v>0.82321604543565685</v>
          </cell>
          <cell r="P152">
            <v>0.81656928003930151</v>
          </cell>
          <cell r="Q152">
            <v>0.80997618158794693</v>
          </cell>
          <cell r="R152">
            <v>0.80343631676691851</v>
          </cell>
          <cell r="S152">
            <v>0.79694925576018683</v>
          </cell>
          <cell r="T152">
            <v>0.79051457222211918</v>
          </cell>
          <cell r="U152">
            <v>0.78413184324945928</v>
          </cell>
          <cell r="V152">
            <v>0.77780064935353299</v>
          </cell>
          <cell r="W152">
            <v>0.77152057443267819</v>
          </cell>
          <cell r="X152">
            <v>0.76529120574489773</v>
          </cell>
          <cell r="Y152">
            <v>0.75911213388073318</v>
          </cell>
          <cell r="Z152">
            <v>0.75298295273635729</v>
          </cell>
          <cell r="AA152">
            <v>0.74690325948688374</v>
          </cell>
          <cell r="AB152">
            <v>0.7408726545598926</v>
          </cell>
          <cell r="AC152">
            <v>0.73489074160916945</v>
          </cell>
          <cell r="AD152">
            <v>0.7289571274886566</v>
          </cell>
          <cell r="AE152">
            <v>0.72307142222661447</v>
          </cell>
          <cell r="AF152">
            <v>0.71723323899999158</v>
          </cell>
          <cell r="AG152">
            <v>0.71144219410900178</v>
          </cell>
        </row>
        <row r="153">
          <cell r="D153">
            <v>0.01</v>
          </cell>
          <cell r="E153">
            <v>1.0360745555722939E-2</v>
          </cell>
          <cell r="F153">
            <v>1.0734504847043263E-2</v>
          </cell>
          <cell r="G153">
            <v>1.1121747338688983E-2</v>
          </cell>
          <cell r="H153">
            <v>1.152295943111953E-2</v>
          </cell>
          <cell r="I153">
            <v>1.1938645071474739E-2</v>
          </cell>
          <cell r="J153">
            <v>1.2369326386563547E-2</v>
          </cell>
          <cell r="K153">
            <v>1.2815544338687474E-2</v>
          </cell>
          <cell r="L153">
            <v>1.3277859405122652E-2</v>
          </cell>
          <cell r="M153">
            <v>1.3756852282113855E-2</v>
          </cell>
          <cell r="N153">
            <v>1.425312461426481E-2</v>
          </cell>
          <cell r="O153">
            <v>1.4767299750240936E-2</v>
          </cell>
          <cell r="P153">
            <v>1.5300023525733725E-2</v>
          </cell>
          <cell r="Q153">
            <v>1.585196507467021E-2</v>
          </cell>
          <cell r="R153">
            <v>1.6423817669686463E-2</v>
          </cell>
          <cell r="S153">
            <v>1.7016299592920791E-2</v>
          </cell>
          <cell r="T153">
            <v>1.7630155038220414E-2</v>
          </cell>
          <cell r="U153">
            <v>1.8266155045894853E-2</v>
          </cell>
          <cell r="V153">
            <v>1.8925098471190123E-2</v>
          </cell>
          <cell r="W153">
            <v>1.9607812987700205E-2</v>
          </cell>
          <cell r="X153">
            <v>2.0315156126976142E-2</v>
          </cell>
          <cell r="Y153">
            <v>2.104801635563857E-2</v>
          </cell>
          <cell r="Z153">
            <v>2.1807314191346603E-2</v>
          </cell>
          <cell r="AA153">
            <v>2.2594003359024808E-2</v>
          </cell>
          <cell r="AB153">
            <v>2.3409071988800541E-2</v>
          </cell>
          <cell r="AC153">
            <v>2.4253543857156355E-2</v>
          </cell>
          <cell r="AD153">
            <v>2.5128479672856408E-2</v>
          </cell>
          <cell r="AE153">
            <v>2.6034978409262124E-2</v>
          </cell>
          <cell r="AF153">
            <v>2.6974178684710522E-2</v>
          </cell>
          <cell r="AG153">
            <v>2.7947260192689099E-2</v>
          </cell>
        </row>
        <row r="154">
          <cell r="D154">
            <v>0</v>
          </cell>
          <cell r="E154">
            <v>1.1000000000000001E-3</v>
          </cell>
          <cell r="F154">
            <v>1.1000000000000001E-3</v>
          </cell>
          <cell r="G154">
            <v>1.1000000000000001E-3</v>
          </cell>
          <cell r="H154">
            <v>1.1000000000000001E-3</v>
          </cell>
          <cell r="I154">
            <v>1.1000000000000001E-3</v>
          </cell>
          <cell r="J154">
            <v>1.1000000000000001E-3</v>
          </cell>
          <cell r="K154">
            <v>1.1000000000000001E-3</v>
          </cell>
          <cell r="L154">
            <v>1.1000000000000001E-3</v>
          </cell>
          <cell r="M154">
            <v>1.1000000000000001E-3</v>
          </cell>
          <cell r="N154">
            <v>1.1000000000000001E-3</v>
          </cell>
          <cell r="O154">
            <v>1.1000000000000001E-3</v>
          </cell>
          <cell r="P154">
            <v>1.1000000000000001E-3</v>
          </cell>
          <cell r="Q154">
            <v>1.1000000000000001E-3</v>
          </cell>
          <cell r="R154">
            <v>1.1000000000000001E-3</v>
          </cell>
          <cell r="S154">
            <v>1.1999999999999999E-3</v>
          </cell>
          <cell r="T154">
            <v>1.1999999999999999E-3</v>
          </cell>
          <cell r="U154">
            <v>1.1999999999999999E-3</v>
          </cell>
          <cell r="V154">
            <v>1.1999999999999999E-3</v>
          </cell>
          <cell r="W154">
            <v>1.2999999999999999E-3</v>
          </cell>
          <cell r="X154">
            <v>1.2999999999999999E-3</v>
          </cell>
          <cell r="Y154">
            <v>1.2999999999999999E-3</v>
          </cell>
          <cell r="Z154">
            <v>1.4E-3</v>
          </cell>
          <cell r="AA154">
            <v>1.4E-3</v>
          </cell>
          <cell r="AB154">
            <v>1.4E-3</v>
          </cell>
          <cell r="AC154">
            <v>1.5E-3</v>
          </cell>
          <cell r="AD154">
            <v>1.5E-3</v>
          </cell>
          <cell r="AE154">
            <v>1.6000000000000001E-3</v>
          </cell>
          <cell r="AF154">
            <v>1.6000000000000001E-3</v>
          </cell>
          <cell r="AG154">
            <v>1.6999999999999999E-3</v>
          </cell>
        </row>
        <row r="155">
          <cell r="D155">
            <v>0.08</v>
          </cell>
          <cell r="E155">
            <v>8.5905984593534532E-2</v>
          </cell>
          <cell r="F155">
            <v>9.2740282821402731E-2</v>
          </cell>
          <cell r="G155">
            <v>9.9502898950176291E-2</v>
          </cell>
          <cell r="H155">
            <v>0.10629381648572064</v>
          </cell>
          <cell r="I155">
            <v>0.1128129975931292</v>
          </cell>
          <cell r="J155">
            <v>0.11946038249436865</v>
          </cell>
          <cell r="K155">
            <v>0.12593588884284218</v>
          </cell>
          <cell r="L155">
            <v>0.1323394110740489</v>
          </cell>
          <cell r="M155">
            <v>0.1386708197314877</v>
          </cell>
          <cell r="N155">
            <v>0.14492996076692366</v>
          </cell>
          <cell r="O155">
            <v>0.15101665481410223</v>
          </cell>
          <cell r="P155">
            <v>0.15693069643496477</v>
          </cell>
          <cell r="Q155">
            <v>0.16287185333738285</v>
          </cell>
          <cell r="R155">
            <v>0.16863986556339502</v>
          </cell>
          <cell r="S155">
            <v>0.17413444464689237</v>
          </cell>
          <cell r="T155">
            <v>0.1798552727396604</v>
          </cell>
          <cell r="U155">
            <v>0.18520200170464587</v>
          </cell>
          <cell r="V155">
            <v>0.19067425217527689</v>
          </cell>
          <cell r="W155">
            <v>0.19577161257962161</v>
          </cell>
          <cell r="X155">
            <v>0.20099363812812612</v>
          </cell>
          <cell r="Y155">
            <v>0.20603984976362827</v>
          </cell>
          <cell r="Z155">
            <v>0.21100973307229609</v>
          </cell>
          <cell r="AA155">
            <v>0.21600273715409141</v>
          </cell>
          <cell r="AB155">
            <v>0.22091827345130682</v>
          </cell>
          <cell r="AC155">
            <v>0.22555571453367418</v>
          </cell>
          <cell r="AD155">
            <v>0.23021439283848699</v>
          </cell>
          <cell r="AE155">
            <v>0.23479359936412342</v>
          </cell>
          <cell r="AF155">
            <v>0.23949258231529791</v>
          </cell>
          <cell r="AG155">
            <v>0.24391054569830911</v>
          </cell>
        </row>
        <row r="156">
          <cell r="D156">
            <v>0.01</v>
          </cell>
          <cell r="E156">
            <v>9.2999999999999992E-3</v>
          </cell>
          <cell r="F156">
            <v>9.2999999999999992E-3</v>
          </cell>
          <cell r="G156">
            <v>9.2999999999999992E-3</v>
          </cell>
          <cell r="H156">
            <v>9.1999999999999998E-3</v>
          </cell>
          <cell r="I156">
            <v>9.2999999999999992E-3</v>
          </cell>
          <cell r="J156">
            <v>9.1999999999999998E-3</v>
          </cell>
          <cell r="K156">
            <v>9.1999999999999998E-3</v>
          </cell>
          <cell r="L156">
            <v>9.1999999999999998E-3</v>
          </cell>
          <cell r="M156">
            <v>9.1999999999999998E-3</v>
          </cell>
          <cell r="N156">
            <v>9.1999999999999998E-3</v>
          </cell>
          <cell r="O156">
            <v>9.2999999999999992E-3</v>
          </cell>
          <cell r="P156">
            <v>9.4000000000000004E-3</v>
          </cell>
          <cell r="Q156">
            <v>9.4999999999999998E-3</v>
          </cell>
          <cell r="R156">
            <v>9.5999999999999992E-3</v>
          </cell>
          <cell r="S156">
            <v>9.7999999999999997E-3</v>
          </cell>
          <cell r="T156">
            <v>9.9000000000000008E-3</v>
          </cell>
          <cell r="U156">
            <v>1.01E-2</v>
          </cell>
          <cell r="V156">
            <v>1.03E-2</v>
          </cell>
          <cell r="W156">
            <v>1.06E-2</v>
          </cell>
          <cell r="X156">
            <v>1.0800000000000001E-2</v>
          </cell>
          <cell r="Y156">
            <v>1.11E-2</v>
          </cell>
          <cell r="Z156">
            <v>1.1299999999999999E-2</v>
          </cell>
          <cell r="AA156">
            <v>1.15E-2</v>
          </cell>
          <cell r="AB156">
            <v>1.18E-2</v>
          </cell>
          <cell r="AC156">
            <v>1.2E-2</v>
          </cell>
          <cell r="AD156">
            <v>1.23E-2</v>
          </cell>
          <cell r="AE156">
            <v>1.2500000000000001E-2</v>
          </cell>
          <cell r="AF156">
            <v>1.2699999999999999E-2</v>
          </cell>
          <cell r="AG156">
            <v>1.29E-2</v>
          </cell>
        </row>
        <row r="157">
          <cell r="D157">
            <v>1E-4</v>
          </cell>
          <cell r="E157">
            <v>0</v>
          </cell>
          <cell r="F157">
            <v>3.5000000000000001E-3</v>
          </cell>
          <cell r="G157">
            <v>7.0000000000000001E-3</v>
          </cell>
          <cell r="H157">
            <v>1.0500000000000001E-2</v>
          </cell>
          <cell r="I157">
            <v>1.4E-2</v>
          </cell>
          <cell r="J157">
            <v>1.7500000000000002E-2</v>
          </cell>
          <cell r="K157">
            <v>2.1000000000000001E-2</v>
          </cell>
          <cell r="L157">
            <v>2.46E-2</v>
          </cell>
          <cell r="M157">
            <v>2.81E-2</v>
          </cell>
          <cell r="N157">
            <v>3.1600000000000003E-2</v>
          </cell>
          <cell r="O157">
            <v>3.5099999999999999E-2</v>
          </cell>
          <cell r="P157">
            <v>3.8600000000000002E-2</v>
          </cell>
          <cell r="Q157">
            <v>4.2099999999999999E-2</v>
          </cell>
          <cell r="R157">
            <v>4.5600000000000002E-2</v>
          </cell>
          <cell r="S157">
            <v>4.9099999999999998E-2</v>
          </cell>
          <cell r="T157">
            <v>5.2600000000000001E-2</v>
          </cell>
          <cell r="U157">
            <v>5.6099999999999997E-2</v>
          </cell>
          <cell r="V157">
            <v>5.96E-2</v>
          </cell>
          <cell r="W157">
            <v>6.3E-2</v>
          </cell>
          <cell r="X157">
            <v>6.6400000000000001E-2</v>
          </cell>
          <cell r="Y157">
            <v>6.9900000000000004E-2</v>
          </cell>
          <cell r="Z157">
            <v>7.3200000000000001E-2</v>
          </cell>
          <cell r="AA157">
            <v>7.6600000000000001E-2</v>
          </cell>
          <cell r="AB157">
            <v>0.08</v>
          </cell>
          <cell r="AC157">
            <v>8.3199999999999996E-2</v>
          </cell>
          <cell r="AD157">
            <v>8.6499999999999994E-2</v>
          </cell>
          <cell r="AE157">
            <v>8.9800000000000005E-2</v>
          </cell>
          <cell r="AF157">
            <v>9.3100000000000002E-2</v>
          </cell>
          <cell r="AG157">
            <v>9.6500000000000002E-2</v>
          </cell>
        </row>
        <row r="166">
          <cell r="D166">
            <v>0.02</v>
          </cell>
          <cell r="E166">
            <v>0.02</v>
          </cell>
          <cell r="F166">
            <v>0.02</v>
          </cell>
          <cell r="G166">
            <v>0.02</v>
          </cell>
          <cell r="H166">
            <v>0.02</v>
          </cell>
          <cell r="I166">
            <v>0.02</v>
          </cell>
          <cell r="J166">
            <v>0.02</v>
          </cell>
          <cell r="K166">
            <v>0.02</v>
          </cell>
          <cell r="L166">
            <v>0.02</v>
          </cell>
          <cell r="M166">
            <v>0.02</v>
          </cell>
          <cell r="N166">
            <v>0.02</v>
          </cell>
          <cell r="O166">
            <v>0.02</v>
          </cell>
          <cell r="P166">
            <v>0.02</v>
          </cell>
          <cell r="Q166">
            <v>0.02</v>
          </cell>
          <cell r="R166">
            <v>0.02</v>
          </cell>
          <cell r="S166">
            <v>0.02</v>
          </cell>
          <cell r="T166">
            <v>0.02</v>
          </cell>
          <cell r="U166">
            <v>0.02</v>
          </cell>
          <cell r="V166">
            <v>0.02</v>
          </cell>
          <cell r="W166">
            <v>0.02</v>
          </cell>
          <cell r="X166">
            <v>0.02</v>
          </cell>
          <cell r="Y166">
            <v>0.02</v>
          </cell>
          <cell r="Z166">
            <v>0.02</v>
          </cell>
          <cell r="AA166">
            <v>0.02</v>
          </cell>
          <cell r="AB166">
            <v>0.02</v>
          </cell>
          <cell r="AC166">
            <v>0.02</v>
          </cell>
          <cell r="AD166">
            <v>0.02</v>
          </cell>
          <cell r="AE166">
            <v>0.02</v>
          </cell>
          <cell r="AF166">
            <v>0.02</v>
          </cell>
          <cell r="AG166">
            <v>0.02</v>
          </cell>
          <cell r="AH166">
            <v>0.02</v>
          </cell>
        </row>
        <row r="167">
          <cell r="D167">
            <v>2.0000000000000018E-2</v>
          </cell>
          <cell r="E167">
            <v>2.0597467538686076E-2</v>
          </cell>
          <cell r="F167">
            <v>2.1094875262033908E-2</v>
          </cell>
          <cell r="G167">
            <v>2.1494327501888399E-2</v>
          </cell>
          <cell r="H167">
            <v>2.1797876245844172E-2</v>
          </cell>
          <cell r="I167">
            <v>2.2007522403727831E-2</v>
          </cell>
          <cell r="J167">
            <v>2.2125217043306056E-2</v>
          </cell>
          <cell r="K167">
            <v>2.2152862595964606E-2</v>
          </cell>
          <cell r="L167">
            <v>2.2092314033089755E-2</v>
          </cell>
          <cell r="M167">
            <v>2.2945380013862926E-2</v>
          </cell>
          <cell r="N167">
            <v>2.3713824005160977E-2</v>
          </cell>
          <cell r="O167">
            <v>2.5399365374242588E-2</v>
          </cell>
          <cell r="P167">
            <v>2.6003680454879219E-2</v>
          </cell>
          <cell r="Q167">
            <v>2.5528403587576132E-2</v>
          </cell>
          <cell r="R167">
            <v>2.4975128134512414E-2</v>
          </cell>
          <cell r="S167">
            <v>2.4345407469815283E-2</v>
          </cell>
          <cell r="T167">
            <v>2.364075594576498E-2</v>
          </cell>
          <cell r="U167">
            <v>2.2862649835518001E-2</v>
          </cell>
          <cell r="V167">
            <v>2.2012528252915109E-2</v>
          </cell>
          <cell r="W167">
            <v>2.109179404993422E-2</v>
          </cell>
          <cell r="X167">
            <v>2.0101814692328968E-2</v>
          </cell>
          <cell r="Y167">
            <v>1.9043923113981842E-2</v>
          </cell>
          <cell r="Z167">
            <v>1.7919418550491839E-2</v>
          </cell>
          <cell r="AA167">
            <v>1.6729567352497421E-2</v>
          </cell>
          <cell r="AB167">
            <v>1.5475603779228964E-2</v>
          </cell>
          <cell r="AC167">
            <v>1.4158730772769967E-2</v>
          </cell>
          <cell r="AD167">
            <v>1.278012071349599E-2</v>
          </cell>
          <cell r="AE167">
            <v>1.1340916157147385E-2</v>
          </cell>
          <cell r="AF167">
            <v>9.8422305539830335E-3</v>
          </cell>
          <cell r="AG167">
            <v>8.2851489504490727E-3</v>
          </cell>
          <cell r="AH167">
            <v>5.0000000000000044E-3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D169">
            <v>0.15</v>
          </cell>
          <cell r="E169">
            <v>0.14635718859424887</v>
          </cell>
          <cell r="F169">
            <v>0.14280284435475021</v>
          </cell>
          <cell r="G169">
            <v>0.13933481882015564</v>
          </cell>
          <cell r="H169">
            <v>0.13595101570538012</v>
          </cell>
          <cell r="I169">
            <v>0.13264938963448006</v>
          </cell>
          <cell r="J169">
            <v>0.12942794490430401</v>
          </cell>
          <cell r="K169">
            <v>0.1262847342781685</v>
          </cell>
          <cell r="L169">
            <v>0.12321785780883009</v>
          </cell>
          <cell r="M169">
            <v>0.12022546169004192</v>
          </cell>
          <cell r="N169">
            <v>0.11730573713600073</v>
          </cell>
          <cell r="O169">
            <v>0.11445691928800696</v>
          </cell>
          <cell r="P169">
            <v>0.11167728614767704</v>
          </cell>
          <cell r="Q169">
            <v>0.1089651575360631</v>
          </cell>
          <cell r="R169">
            <v>0.10631889407805085</v>
          </cell>
          <cell r="S169">
            <v>0.10373689621142174</v>
          </cell>
          <cell r="T169">
            <v>0.1012176032199805</v>
          </cell>
          <cell r="U169">
            <v>9.8759492290163592E-2</v>
          </cell>
          <cell r="V169">
            <v>9.6361077590558272E-2</v>
          </cell>
          <cell r="W169">
            <v>9.4020909373775913E-2</v>
          </cell>
          <cell r="X169">
            <v>9.1737573100136693E-2</v>
          </cell>
          <cell r="Y169">
            <v>8.9509688582635999E-2</v>
          </cell>
          <cell r="Z169">
            <v>8.7335909152675625E-2</v>
          </cell>
          <cell r="AA169">
            <v>8.5214920846055559E-2</v>
          </cell>
          <cell r="AB169">
            <v>8.31454416087343E-2</v>
          </cell>
          <cell r="AC169">
            <v>8.1126220521877554E-2</v>
          </cell>
          <cell r="AD169">
            <v>7.9156037045727046E-2</v>
          </cell>
          <cell r="AE169">
            <v>7.7233700281832157E-2</v>
          </cell>
          <cell r="AF169">
            <v>7.5358048253198681E-2</v>
          </cell>
          <cell r="AG169">
            <v>7.352794720191938E-2</v>
          </cell>
          <cell r="AH169">
            <v>7.0000000000000007E-2</v>
          </cell>
        </row>
        <row r="170">
          <cell r="D170">
            <v>0.01</v>
          </cell>
          <cell r="E170">
            <v>0.01</v>
          </cell>
          <cell r="F170">
            <v>0.01</v>
          </cell>
          <cell r="G170">
            <v>0.01</v>
          </cell>
          <cell r="H170">
            <v>0.01</v>
          </cell>
          <cell r="I170">
            <v>0.01</v>
          </cell>
          <cell r="J170">
            <v>0.01</v>
          </cell>
          <cell r="K170">
            <v>0.01</v>
          </cell>
          <cell r="L170">
            <v>0.01</v>
          </cell>
          <cell r="M170">
            <v>8.9999999999999993E-3</v>
          </cell>
          <cell r="N170">
            <v>8.0000000000000002E-3</v>
          </cell>
          <cell r="O170">
            <v>6.0000000000000001E-3</v>
          </cell>
          <cell r="P170">
            <v>5.0000000000000001E-3</v>
          </cell>
          <cell r="Q170">
            <v>5.0000000000000001E-3</v>
          </cell>
          <cell r="R170">
            <v>5.0000000000000001E-3</v>
          </cell>
          <cell r="S170">
            <v>5.0000000000000001E-3</v>
          </cell>
          <cell r="T170">
            <v>5.0000000000000001E-3</v>
          </cell>
          <cell r="U170">
            <v>5.0000000000000001E-3</v>
          </cell>
          <cell r="V170">
            <v>5.0000000000000001E-3</v>
          </cell>
          <cell r="W170">
            <v>5.0000000000000001E-3</v>
          </cell>
          <cell r="X170">
            <v>5.0000000000000001E-3</v>
          </cell>
          <cell r="Y170">
            <v>5.0000000000000001E-3</v>
          </cell>
          <cell r="Z170">
            <v>5.0000000000000001E-3</v>
          </cell>
          <cell r="AA170">
            <v>5.0000000000000001E-3</v>
          </cell>
          <cell r="AB170">
            <v>5.0000000000000001E-3</v>
          </cell>
          <cell r="AC170">
            <v>5.0000000000000001E-3</v>
          </cell>
          <cell r="AD170">
            <v>5.0000000000000001E-3</v>
          </cell>
          <cell r="AE170">
            <v>5.0000000000000001E-3</v>
          </cell>
          <cell r="AF170">
            <v>5.0000000000000001E-3</v>
          </cell>
          <cell r="AG170">
            <v>5.0000000000000001E-3</v>
          </cell>
          <cell r="AH170">
            <v>5.0000000000000001E-3</v>
          </cell>
        </row>
        <row r="171">
          <cell r="D171">
            <v>0.8</v>
          </cell>
          <cell r="E171">
            <v>0.80304534386706505</v>
          </cell>
          <cell r="F171">
            <v>0.80610228038321585</v>
          </cell>
          <cell r="G171">
            <v>0.80917085367795594</v>
          </cell>
          <cell r="H171">
            <v>0.81225110804877576</v>
          </cell>
          <cell r="I171">
            <v>0.81534308796179211</v>
          </cell>
          <cell r="J171">
            <v>0.81844683805238994</v>
          </cell>
          <cell r="K171">
            <v>0.82156240312586692</v>
          </cell>
          <cell r="L171">
            <v>0.82468982815808012</v>
          </cell>
          <cell r="M171">
            <v>0.82782915829609516</v>
          </cell>
          <cell r="N171">
            <v>0.83098043885883832</v>
          </cell>
          <cell r="O171">
            <v>0.83414371533775045</v>
          </cell>
          <cell r="P171">
            <v>0.83731903339744373</v>
          </cell>
          <cell r="Q171">
            <v>0.84050643887636078</v>
          </cell>
          <cell r="R171">
            <v>0.84370597778743672</v>
          </cell>
          <cell r="S171">
            <v>0.84691769631876301</v>
          </cell>
          <cell r="T171">
            <v>0.85014164083425448</v>
          </cell>
          <cell r="U171">
            <v>0.85337785787431841</v>
          </cell>
          <cell r="V171">
            <v>0.85662639415652664</v>
          </cell>
          <cell r="W171">
            <v>0.85988729657628982</v>
          </cell>
          <cell r="X171">
            <v>0.86316061220753437</v>
          </cell>
          <cell r="Y171">
            <v>0.86644638830338216</v>
          </cell>
          <cell r="Z171">
            <v>0.8697446722968325</v>
          </cell>
          <cell r="AA171">
            <v>0.87305551180144703</v>
          </cell>
          <cell r="AB171">
            <v>0.87637895461203674</v>
          </cell>
          <cell r="AC171">
            <v>0.87971504870535244</v>
          </cell>
          <cell r="AD171">
            <v>0.88306384224077694</v>
          </cell>
          <cell r="AE171">
            <v>0.88642538356102041</v>
          </cell>
          <cell r="AF171">
            <v>0.88979972119281825</v>
          </cell>
          <cell r="AG171">
            <v>0.89318690384763155</v>
          </cell>
          <cell r="AH171">
            <v>0.9</v>
          </cell>
        </row>
        <row r="179">
          <cell r="D179">
            <v>0.02</v>
          </cell>
          <cell r="E179">
            <v>0.02</v>
          </cell>
          <cell r="F179">
            <v>0.02</v>
          </cell>
          <cell r="G179">
            <v>0.02</v>
          </cell>
          <cell r="H179">
            <v>0.02</v>
          </cell>
          <cell r="I179">
            <v>0.02</v>
          </cell>
          <cell r="J179">
            <v>0.02</v>
          </cell>
          <cell r="K179">
            <v>0.02</v>
          </cell>
          <cell r="L179">
            <v>0.02</v>
          </cell>
          <cell r="M179">
            <v>0.02</v>
          </cell>
          <cell r="N179">
            <v>0.02</v>
          </cell>
          <cell r="O179">
            <v>0.02</v>
          </cell>
          <cell r="P179">
            <v>0.02</v>
          </cell>
          <cell r="Q179">
            <v>0.02</v>
          </cell>
          <cell r="R179">
            <v>0.02</v>
          </cell>
          <cell r="S179">
            <v>0.02</v>
          </cell>
          <cell r="T179">
            <v>0.02</v>
          </cell>
          <cell r="U179">
            <v>0.02</v>
          </cell>
          <cell r="V179">
            <v>0.02</v>
          </cell>
          <cell r="W179">
            <v>0.02</v>
          </cell>
          <cell r="X179">
            <v>0.02</v>
          </cell>
          <cell r="Y179">
            <v>0.02</v>
          </cell>
          <cell r="Z179">
            <v>0.02</v>
          </cell>
          <cell r="AA179">
            <v>0.02</v>
          </cell>
          <cell r="AB179">
            <v>0.02</v>
          </cell>
          <cell r="AC179">
            <v>0.02</v>
          </cell>
          <cell r="AD179">
            <v>0.02</v>
          </cell>
          <cell r="AE179">
            <v>0.02</v>
          </cell>
          <cell r="AF179">
            <v>0.02</v>
          </cell>
          <cell r="AG179">
            <v>0.02</v>
          </cell>
          <cell r="AH179">
            <v>0</v>
          </cell>
        </row>
        <row r="180">
          <cell r="D180">
            <v>2.0000000000000018E-2</v>
          </cell>
          <cell r="E180">
            <v>1.9125319789925117E-2</v>
          </cell>
          <cell r="F180">
            <v>1.8288892853345048E-2</v>
          </cell>
          <cell r="G180">
            <v>1.7489046221194987E-2</v>
          </cell>
          <cell r="H180">
            <v>1.6724180090056762E-2</v>
          </cell>
          <cell r="I180">
            <v>1.5992764622331696E-2</v>
          </cell>
          <cell r="J180">
            <v>1.529333688635472E-2</v>
          </cell>
          <cell r="K180">
            <v>1.4624497930329571E-2</v>
          </cell>
          <cell r="L180">
            <v>1.3984909984232539E-2</v>
          </cell>
          <cell r="M180">
            <v>1.3373293784088185E-2</v>
          </cell>
          <cell r="N180">
            <v>1.2788426013265203E-2</v>
          </cell>
          <cell r="O180">
            <v>1.2229136855674698E-2</v>
          </cell>
          <cell r="P180">
            <v>1.1694307655976885E-2</v>
          </cell>
          <cell r="Q180">
            <v>1.1182868682116365E-2</v>
          </cell>
          <cell r="R180">
            <v>1.0693796985710687E-2</v>
          </cell>
          <cell r="S180">
            <v>1.0226114356012698E-2</v>
          </cell>
          <cell r="T180">
            <v>9.7788853633543407E-3</v>
          </cell>
          <cell r="U180">
            <v>9.3512154881584836E-3</v>
          </cell>
          <cell r="V180">
            <v>8.9422493317765778E-3</v>
          </cell>
          <cell r="W180">
            <v>8.5511689055735533E-3</v>
          </cell>
          <cell r="X180">
            <v>8.1771919948379016E-3</v>
          </cell>
          <cell r="Y180">
            <v>7.8195705942445213E-3</v>
          </cell>
          <cell r="Z180">
            <v>7.4775894117410559E-3</v>
          </cell>
          <cell r="AA180">
            <v>7.1505644378652804E-3</v>
          </cell>
          <cell r="AB180">
            <v>6.8378415776319743E-3</v>
          </cell>
          <cell r="AC180">
            <v>6.5387953422528728E-3</v>
          </cell>
          <cell r="AD180">
            <v>6.2528275980729469E-3</v>
          </cell>
          <cell r="AE180">
            <v>5.9793663702207176E-3</v>
          </cell>
          <cell r="AF180">
            <v>5.7178646985797449E-3</v>
          </cell>
          <cell r="AG180">
            <v>5.467799543793065E-3</v>
          </cell>
          <cell r="AH180">
            <v>0.01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D182">
            <v>0.15</v>
          </cell>
          <cell r="E182">
            <v>0.1435346925767087</v>
          </cell>
          <cell r="F182">
            <v>0.13734805315393517</v>
          </cell>
          <cell r="G182">
            <v>0.13142807056973022</v>
          </cell>
          <cell r="H182">
            <v>0.12576325136784136</v>
          </cell>
          <cell r="I182">
            <v>0.12034259748353633</v>
          </cell>
          <cell r="J182">
            <v>0.11515558489121323</v>
          </cell>
          <cell r="K182">
            <v>0.11019214317234249</v>
          </cell>
          <cell r="L182">
            <v>0.10544263596407234</v>
          </cell>
          <cell r="M182">
            <v>0.10089784225053955</v>
          </cell>
          <cell r="N182">
            <v>9.6548938460562964E-2</v>
          </cell>
          <cell r="O182">
            <v>9.2387481336963145E-2</v>
          </cell>
          <cell r="P182">
            <v>8.8405391544249451E-2</v>
          </cell>
          <cell r="Q182">
            <v>8.4594937982849394E-2</v>
          </cell>
          <cell r="R182">
            <v>8.0948722779426843E-2</v>
          </cell>
          <cell r="S182">
            <v>7.7459666924148324E-2</v>
          </cell>
          <cell r="T182">
            <v>7.4120996527012539E-2</v>
          </cell>
          <cell r="U182">
            <v>7.0926229666560259E-2</v>
          </cell>
          <cell r="V182">
            <v>6.7869163805431759E-2</v>
          </cell>
          <cell r="W182">
            <v>6.4943863748339548E-2</v>
          </cell>
          <cell r="X182">
            <v>6.2144650119077161E-2</v>
          </cell>
          <cell r="Y182">
            <v>5.9466088334192431E-2</v>
          </cell>
          <cell r="Z182">
            <v>5.6902978051918095E-2</v>
          </cell>
          <cell r="AA182">
            <v>5.445034307587511E-2</v>
          </cell>
          <cell r="AB182">
            <v>5.2103421693947022E-2</v>
          </cell>
          <cell r="AC182">
            <v>4.9857657433568674E-2</v>
          </cell>
          <cell r="AD182">
            <v>4.7708690215480902E-2</v>
          </cell>
          <cell r="AE182">
            <v>4.5652347888776548E-2</v>
          </cell>
          <cell r="AF182">
            <v>4.3684638130803324E-2</v>
          </cell>
          <cell r="AG182">
            <v>4.1801740696197479E-2</v>
          </cell>
          <cell r="AH182">
            <v>0.04</v>
          </cell>
        </row>
        <row r="183">
          <cell r="D183">
            <v>0.01</v>
          </cell>
          <cell r="E183">
            <v>0.01</v>
          </cell>
          <cell r="F183">
            <v>0.01</v>
          </cell>
          <cell r="G183">
            <v>0.01</v>
          </cell>
          <cell r="H183">
            <v>0.01</v>
          </cell>
          <cell r="I183">
            <v>0.01</v>
          </cell>
          <cell r="J183">
            <v>0.01</v>
          </cell>
          <cell r="K183">
            <v>0.01</v>
          </cell>
          <cell r="L183">
            <v>0.01</v>
          </cell>
          <cell r="M183">
            <v>0.01</v>
          </cell>
          <cell r="N183">
            <v>0.01</v>
          </cell>
          <cell r="O183">
            <v>0.01</v>
          </cell>
          <cell r="P183">
            <v>0.01</v>
          </cell>
          <cell r="Q183">
            <v>0.01</v>
          </cell>
          <cell r="R183">
            <v>0.01</v>
          </cell>
          <cell r="S183">
            <v>0.01</v>
          </cell>
          <cell r="T183">
            <v>0.01</v>
          </cell>
          <cell r="U183">
            <v>0.01</v>
          </cell>
          <cell r="V183">
            <v>0.01</v>
          </cell>
          <cell r="W183">
            <v>0.01</v>
          </cell>
          <cell r="X183">
            <v>0.01</v>
          </cell>
          <cell r="Y183">
            <v>0.01</v>
          </cell>
          <cell r="Z183">
            <v>0.01</v>
          </cell>
          <cell r="AA183">
            <v>0.01</v>
          </cell>
          <cell r="AB183">
            <v>0.01</v>
          </cell>
          <cell r="AC183">
            <v>0.01</v>
          </cell>
          <cell r="AD183">
            <v>0.01</v>
          </cell>
          <cell r="AE183">
            <v>0.01</v>
          </cell>
          <cell r="AF183">
            <v>0.01</v>
          </cell>
          <cell r="AG183">
            <v>0.01</v>
          </cell>
          <cell r="AH183">
            <v>0</v>
          </cell>
        </row>
        <row r="184">
          <cell r="D184">
            <v>0.8</v>
          </cell>
          <cell r="E184">
            <v>0.80444716049435527</v>
          </cell>
          <cell r="F184">
            <v>0.8089190425342887</v>
          </cell>
          <cell r="G184">
            <v>0.81341578354565147</v>
          </cell>
          <cell r="H184">
            <v>0.81793752171823808</v>
          </cell>
          <cell r="I184">
            <v>0.82248439601003331</v>
          </cell>
          <cell r="J184">
            <v>0.82705654615148261</v>
          </cell>
          <cell r="K184">
            <v>0.83165411264978606</v>
          </cell>
          <cell r="L184">
            <v>0.83627723679321631</v>
          </cell>
          <cell r="M184">
            <v>0.84092606065546049</v>
          </cell>
          <cell r="N184">
            <v>0.84560072709998646</v>
          </cell>
          <cell r="O184">
            <v>0.85030137978443288</v>
          </cell>
          <cell r="P184">
            <v>0.85502816316502428</v>
          </cell>
          <cell r="Q184">
            <v>0.85978122250101008</v>
          </cell>
          <cell r="R184">
            <v>0.86456070385912875</v>
          </cell>
          <cell r="S184">
            <v>0.86936675411809661</v>
          </cell>
          <cell r="T184">
            <v>0.87419952097312148</v>
          </cell>
          <cell r="U184">
            <v>0.87905915294044146</v>
          </cell>
          <cell r="V184">
            <v>0.88394579936188911</v>
          </cell>
          <cell r="W184">
            <v>0.88885961040948092</v>
          </cell>
          <cell r="X184">
            <v>0.89380073709003227</v>
          </cell>
          <cell r="Y184">
            <v>0.89876933124979774</v>
          </cell>
          <cell r="Z184">
            <v>0.90376554557913802</v>
          </cell>
          <cell r="AA184">
            <v>0.90878953361721171</v>
          </cell>
          <cell r="AB184">
            <v>0.91384144975669424</v>
          </cell>
          <cell r="AC184">
            <v>0.91892144924852215</v>
          </cell>
          <cell r="AD184">
            <v>0.92402968820666431</v>
          </cell>
          <cell r="AE184">
            <v>0.9291663236129194</v>
          </cell>
          <cell r="AF184">
            <v>0.93433151332174025</v>
          </cell>
          <cell r="AG184">
            <v>0.93952541606508477</v>
          </cell>
          <cell r="AH184">
            <v>0.95</v>
          </cell>
        </row>
        <row r="192">
          <cell r="D192">
            <v>0.02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D193">
            <v>2.0000000000000018E-2</v>
          </cell>
          <cell r="E193">
            <v>3.4489281238476277E-2</v>
          </cell>
          <cell r="F193">
            <v>3.8311128030022568E-2</v>
          </cell>
          <cell r="G193">
            <v>4.150642695624529E-2</v>
          </cell>
          <cell r="H193">
            <v>4.4113392491167081E-2</v>
          </cell>
          <cell r="I193">
            <v>4.6167740468518459E-2</v>
          </cell>
          <cell r="J193">
            <v>4.7702850280306408E-2</v>
          </cell>
          <cell r="K193">
            <v>4.8749916538644911E-2</v>
          </cell>
          <cell r="L193">
            <v>4.9338090885282848E-2</v>
          </cell>
          <cell r="M193">
            <v>4.9494614588809771E-2</v>
          </cell>
          <cell r="N193">
            <v>4.9244942527941427E-2</v>
          </cell>
          <cell r="O193">
            <v>4.861285912042479E-2</v>
          </cell>
          <cell r="P193">
            <v>4.7620586720747093E-2</v>
          </cell>
          <cell r="Q193">
            <v>4.6288886975855426E-2</v>
          </cell>
          <cell r="R193">
            <v>4.4637155596311984E-2</v>
          </cell>
          <cell r="S193">
            <v>4.2683510970597749E-2</v>
          </cell>
          <cell r="T193">
            <v>4.0444877022494996E-2</v>
          </cell>
          <cell r="U193">
            <v>3.7937060685498292E-2</v>
          </cell>
          <cell r="V193">
            <v>3.5174824343915723E-2</v>
          </cell>
          <cell r="W193">
            <v>3.2171953567605938E-2</v>
          </cell>
          <cell r="X193">
            <v>2.8941320446061347E-2</v>
          </cell>
          <cell r="Y193">
            <v>2.549494280768716E-2</v>
          </cell>
          <cell r="Z193">
            <v>2.1844039591560671E-2</v>
          </cell>
          <cell r="AA193">
            <v>1.7999082621589779E-2</v>
          </cell>
          <cell r="AB193">
            <v>1.3969845016759241E-2</v>
          </cell>
          <cell r="AC193">
            <v>9.7654464559692178E-3</v>
          </cell>
          <cell r="AD193">
            <v>5.3943955017801137E-3</v>
          </cell>
          <cell r="AE193">
            <v>8.6462917410556894E-4</v>
          </cell>
          <cell r="AF193">
            <v>-3.8164500475164065E-3</v>
          </cell>
          <cell r="AG193">
            <v>0.01</v>
          </cell>
          <cell r="AH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D195">
            <v>0.15</v>
          </cell>
          <cell r="E195">
            <v>0.14025635566747585</v>
          </cell>
          <cell r="F195">
            <v>0.13114563536747659</v>
          </cell>
          <cell r="G195">
            <v>0.122626725855586</v>
          </cell>
          <cell r="H195">
            <v>0.11466118450626085</v>
          </cell>
          <cell r="I195">
            <v>0.1072130658357613</v>
          </cell>
          <cell r="J195">
            <v>0.10024875929374029</v>
          </cell>
          <cell r="K195">
            <v>9.3736837591506764E-2</v>
          </cell>
          <cell r="L195">
            <v>8.7647914882525296E-2</v>
          </cell>
          <cell r="M195">
            <v>8.195451415517413E-2</v>
          </cell>
          <cell r="N195">
            <v>7.6630943239355251E-2</v>
          </cell>
          <cell r="O195">
            <v>7.1653178867421105E-2</v>
          </cell>
          <cell r="P195">
            <v>6.6998758266228531E-2</v>
          </cell>
          <cell r="Q195">
            <v>6.2646677791115921E-2</v>
          </cell>
          <cell r="R195">
            <v>5.8577298144376774E-2</v>
          </cell>
          <cell r="S195">
            <v>5.4772255750516551E-2</v>
          </cell>
          <cell r="T195">
            <v>5.1214379888362666E-2</v>
          </cell>
          <cell r="U195">
            <v>4.7887615206076116E-2</v>
          </cell>
          <cell r="V195">
            <v>4.4776949269404252E-2</v>
          </cell>
          <cell r="W195">
            <v>4.186834481622724E-2</v>
          </cell>
          <cell r="X195">
            <v>3.9148676411688579E-2</v>
          </cell>
          <cell r="Y195">
            <v>3.6605671218058106E-2</v>
          </cell>
          <cell r="Z195">
            <v>3.4227853612044279E-2</v>
          </cell>
          <cell r="AA195">
            <v>3.2004493399634543E-2</v>
          </cell>
          <cell r="AB195">
            <v>2.9925557394776842E-2</v>
          </cell>
          <cell r="AC195">
            <v>2.7981664143395223E-2</v>
          </cell>
          <cell r="AD195">
            <v>2.6164041588425977E-2</v>
          </cell>
          <cell r="AE195">
            <v>2.4464487484832695E-2</v>
          </cell>
          <cell r="AF195">
            <v>2.2875332385968044E-2</v>
          </cell>
          <cell r="AG195">
            <v>2.1389405034253756E-2</v>
          </cell>
          <cell r="AH195">
            <v>0.02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D197">
            <v>0.8</v>
          </cell>
          <cell r="E197">
            <v>0.80525436309404785</v>
          </cell>
          <cell r="F197">
            <v>0.81054323660250083</v>
          </cell>
          <cell r="G197">
            <v>0.81586684718816871</v>
          </cell>
          <cell r="H197">
            <v>0.82122542300257206</v>
          </cell>
          <cell r="I197">
            <v>0.82661919369572023</v>
          </cell>
          <cell r="J197">
            <v>0.83204839042595324</v>
          </cell>
          <cell r="K197">
            <v>0.83751324586984832</v>
          </cell>
          <cell r="L197">
            <v>0.84301399423219181</v>
          </cell>
          <cell r="M197">
            <v>0.84855087125601614</v>
          </cell>
          <cell r="N197">
            <v>0.85412411423270329</v>
          </cell>
          <cell r="O197">
            <v>0.85973396201215413</v>
          </cell>
          <cell r="P197">
            <v>0.86538065501302441</v>
          </cell>
          <cell r="Q197">
            <v>0.87106443523302868</v>
          </cell>
          <cell r="R197">
            <v>0.87678554625931127</v>
          </cell>
          <cell r="S197">
            <v>0.88254423327888565</v>
          </cell>
          <cell r="T197">
            <v>0.88834074308914235</v>
          </cell>
          <cell r="U197">
            <v>0.8941753241084256</v>
          </cell>
          <cell r="V197">
            <v>0.90004822638668003</v>
          </cell>
          <cell r="W197">
            <v>0.90595970161616679</v>
          </cell>
          <cell r="X197">
            <v>0.91191000314225001</v>
          </cell>
          <cell r="Y197">
            <v>0.91789938597425469</v>
          </cell>
          <cell r="Z197">
            <v>0.92392810679639503</v>
          </cell>
          <cell r="AA197">
            <v>0.92999642397877569</v>
          </cell>
          <cell r="AB197">
            <v>0.93610459758846387</v>
          </cell>
          <cell r="AC197">
            <v>0.94225288940063556</v>
          </cell>
          <cell r="AD197">
            <v>0.94844156290979387</v>
          </cell>
          <cell r="AE197">
            <v>0.95467088334106176</v>
          </cell>
          <cell r="AF197">
            <v>0.96094111766154844</v>
          </cell>
          <cell r="AG197">
            <v>0.96725253459179084</v>
          </cell>
          <cell r="AH197">
            <v>0.98</v>
          </cell>
        </row>
        <row r="198">
          <cell r="AF198">
            <v>0</v>
          </cell>
          <cell r="AG198">
            <v>0</v>
          </cell>
        </row>
        <row r="199">
          <cell r="AF199">
            <v>0</v>
          </cell>
          <cell r="AG199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D207">
            <v>0.01</v>
          </cell>
          <cell r="E207">
            <v>0.01</v>
          </cell>
          <cell r="F207">
            <v>0.01</v>
          </cell>
          <cell r="G207">
            <v>0.01</v>
          </cell>
          <cell r="H207">
            <v>0.01</v>
          </cell>
          <cell r="I207">
            <v>0.01</v>
          </cell>
          <cell r="J207">
            <v>0.01</v>
          </cell>
          <cell r="K207">
            <v>0.01</v>
          </cell>
          <cell r="L207">
            <v>0.01</v>
          </cell>
          <cell r="M207">
            <v>0.01</v>
          </cell>
          <cell r="N207">
            <v>0.01</v>
          </cell>
          <cell r="O207">
            <v>0.01</v>
          </cell>
          <cell r="P207">
            <v>0.01</v>
          </cell>
          <cell r="Q207">
            <v>0.01</v>
          </cell>
          <cell r="R207">
            <v>0.01</v>
          </cell>
          <cell r="S207">
            <v>0.01</v>
          </cell>
          <cell r="T207">
            <v>0.01</v>
          </cell>
          <cell r="U207">
            <v>0.01</v>
          </cell>
          <cell r="V207">
            <v>0.01</v>
          </cell>
          <cell r="W207">
            <v>0.01</v>
          </cell>
          <cell r="X207">
            <v>0.01</v>
          </cell>
          <cell r="Y207">
            <v>0.01</v>
          </cell>
          <cell r="Z207">
            <v>0.01</v>
          </cell>
          <cell r="AA207">
            <v>0.01</v>
          </cell>
          <cell r="AB207">
            <v>0.01</v>
          </cell>
          <cell r="AC207">
            <v>0.01</v>
          </cell>
          <cell r="AD207">
            <v>0.01</v>
          </cell>
          <cell r="AE207">
            <v>0.01</v>
          </cell>
          <cell r="AF207">
            <v>0.01</v>
          </cell>
          <cell r="AG207">
            <v>0.01</v>
          </cell>
          <cell r="AH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D209">
            <v>0.98</v>
          </cell>
          <cell r="E209">
            <v>0.97863963696958378</v>
          </cell>
          <cell r="F209">
            <v>0.97728116229383544</v>
          </cell>
          <cell r="G209">
            <v>0.97592457335148164</v>
          </cell>
          <cell r="H209">
            <v>0.97456986752488772</v>
          </cell>
          <cell r="I209">
            <v>0.97321704220005256</v>
          </cell>
          <cell r="J209">
            <v>0.97186609476660368</v>
          </cell>
          <cell r="K209">
            <v>0.97051702261779205</v>
          </cell>
          <cell r="L209">
            <v>0.96916982315048705</v>
          </cell>
          <cell r="M209">
            <v>0.96782449376517188</v>
          </cell>
          <cell r="N209">
            <v>0.96648103186593781</v>
          </cell>
          <cell r="O209">
            <v>0.96513943486047971</v>
          </cell>
          <cell r="P209">
            <v>0.96379970016009098</v>
          </cell>
          <cell r="Q209">
            <v>0.96246182517965828</v>
          </cell>
          <cell r="R209">
            <v>0.96112580733765696</v>
          </cell>
          <cell r="S209">
            <v>0.9597916440561457</v>
          </cell>
          <cell r="T209">
            <v>0.95845933276076167</v>
          </cell>
          <cell r="U209">
            <v>0.95712887088071563</v>
          </cell>
          <cell r="V209">
            <v>0.95580025584878692</v>
          </cell>
          <cell r="W209">
            <v>0.95447348510131858</v>
          </cell>
          <cell r="X209">
            <v>0.95314855607821214</v>
          </cell>
          <cell r="Y209">
            <v>0.95182546622292297</v>
          </cell>
          <cell r="Z209">
            <v>0.95050421298245524</v>
          </cell>
          <cell r="AA209">
            <v>0.9491847938073571</v>
          </cell>
          <cell r="AB209">
            <v>0.94786720615171549</v>
          </cell>
          <cell r="AC209">
            <v>0.94655144747315156</v>
          </cell>
          <cell r="AD209">
            <v>0.94523751523281541</v>
          </cell>
          <cell r="AE209">
            <v>0.94392540689538151</v>
          </cell>
          <cell r="AF209">
            <v>0.94261511992904368</v>
          </cell>
          <cell r="AG209">
            <v>0.94130665180551021</v>
          </cell>
          <cell r="AH209">
            <v>0.94</v>
          </cell>
        </row>
        <row r="210">
          <cell r="D210">
            <v>0</v>
          </cell>
          <cell r="E210">
            <v>0.01</v>
          </cell>
          <cell r="F210">
            <v>0.01</v>
          </cell>
          <cell r="G210">
            <v>0.01</v>
          </cell>
          <cell r="H210">
            <v>0.01</v>
          </cell>
          <cell r="I210">
            <v>0.01</v>
          </cell>
          <cell r="J210">
            <v>0.01</v>
          </cell>
          <cell r="K210">
            <v>0.01</v>
          </cell>
          <cell r="L210">
            <v>0.01</v>
          </cell>
          <cell r="M210">
            <v>0.01</v>
          </cell>
          <cell r="N210">
            <v>0.01</v>
          </cell>
          <cell r="O210">
            <v>0.01</v>
          </cell>
          <cell r="P210">
            <v>0.01</v>
          </cell>
          <cell r="Q210">
            <v>0.01</v>
          </cell>
          <cell r="R210">
            <v>0.01</v>
          </cell>
          <cell r="S210">
            <v>0.01</v>
          </cell>
          <cell r="T210">
            <v>0.01</v>
          </cell>
          <cell r="U210">
            <v>0.01</v>
          </cell>
          <cell r="V210">
            <v>0.01</v>
          </cell>
          <cell r="W210">
            <v>0.01</v>
          </cell>
          <cell r="X210">
            <v>0.01</v>
          </cell>
          <cell r="Y210">
            <v>0.01</v>
          </cell>
          <cell r="Z210">
            <v>0.01</v>
          </cell>
          <cell r="AA210">
            <v>0.01</v>
          </cell>
          <cell r="AB210">
            <v>0.01</v>
          </cell>
          <cell r="AC210">
            <v>0.01</v>
          </cell>
          <cell r="AD210">
            <v>0.01</v>
          </cell>
          <cell r="AE210">
            <v>0.01</v>
          </cell>
          <cell r="AF210">
            <v>0.01</v>
          </cell>
          <cell r="AG210">
            <v>0.01</v>
          </cell>
          <cell r="AH210">
            <v>0.01</v>
          </cell>
        </row>
        <row r="211">
          <cell r="D211">
            <v>0.01</v>
          </cell>
          <cell r="E211">
            <v>1.0532886867272905E-2</v>
          </cell>
          <cell r="F211">
            <v>1.1094170575877001E-2</v>
          </cell>
          <cell r="G211">
            <v>1.1685364356194033E-2</v>
          </cell>
          <cell r="H211">
            <v>1.2308062076665502E-2</v>
          </cell>
          <cell r="I211">
            <v>1.2963942540888973E-2</v>
          </cell>
          <cell r="J211">
            <v>1.3654774013700998E-2</v>
          </cell>
          <cell r="K211">
            <v>1.4382418988449056E-2</v>
          </cell>
          <cell r="L211">
            <v>1.514883920830515E-2</v>
          </cell>
          <cell r="M211">
            <v>1.5956100955158616E-2</v>
          </cell>
          <cell r="N211">
            <v>1.6806380620347082E-2</v>
          </cell>
          <cell r="O211">
            <v>1.770197057224436E-2</v>
          </cell>
          <cell r="P211">
            <v>1.8645285336524403E-2</v>
          </cell>
          <cell r="Q211">
            <v>1.9638868105763391E-2</v>
          </cell>
          <cell r="R211">
            <v>2.0685397595929991E-2</v>
          </cell>
          <cell r="S211">
            <v>2.178769526824895E-2</v>
          </cell>
          <cell r="T211">
            <v>2.2948732935908336E-2</v>
          </cell>
          <cell r="U211">
            <v>2.4171640776118206E-2</v>
          </cell>
          <cell r="V211">
            <v>2.5459715769121368E-2</v>
          </cell>
          <cell r="W211">
            <v>2.6816430586907931E-2</v>
          </cell>
          <cell r="X211">
            <v>2.8245442955597794E-2</v>
          </cell>
          <cell r="Y211">
            <v>2.9750605516732195E-2</v>
          </cell>
          <cell r="Z211">
            <v>3.1335976214060535E-2</v>
          </cell>
          <cell r="AA211">
            <v>3.3005829233825432E-2</v>
          </cell>
          <cell r="AB211">
            <v>3.4764666528041201E-2</v>
          </cell>
          <cell r="AC211">
            <v>3.6617229951832704E-2</v>
          </cell>
          <cell r="AD211">
            <v>3.8568514047557068E-2</v>
          </cell>
          <cell r="AE211">
            <v>4.0623779510174436E-2</v>
          </cell>
          <cell r="AF211">
            <v>4.2788567370170637E-2</v>
          </cell>
          <cell r="AG211">
            <v>4.5068713932269217E-2</v>
          </cell>
          <cell r="AH211">
            <v>0.05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D220">
            <v>0.01</v>
          </cell>
          <cell r="E220">
            <v>0.01</v>
          </cell>
          <cell r="F220">
            <v>0.01</v>
          </cell>
          <cell r="G220">
            <v>0.01</v>
          </cell>
          <cell r="H220">
            <v>0.01</v>
          </cell>
          <cell r="I220">
            <v>0.01</v>
          </cell>
          <cell r="J220">
            <v>0.01</v>
          </cell>
          <cell r="K220">
            <v>0.01</v>
          </cell>
          <cell r="L220">
            <v>0.01</v>
          </cell>
          <cell r="M220">
            <v>0.01</v>
          </cell>
          <cell r="N220">
            <v>0.01</v>
          </cell>
          <cell r="O220">
            <v>0.01</v>
          </cell>
          <cell r="P220">
            <v>0.01</v>
          </cell>
          <cell r="Q220">
            <v>0.01</v>
          </cell>
          <cell r="R220">
            <v>0.01</v>
          </cell>
          <cell r="S220">
            <v>0.01</v>
          </cell>
          <cell r="T220">
            <v>0.01</v>
          </cell>
          <cell r="U220">
            <v>0.01</v>
          </cell>
          <cell r="V220">
            <v>0.01</v>
          </cell>
          <cell r="W220">
            <v>0.01</v>
          </cell>
          <cell r="X220">
            <v>0.01</v>
          </cell>
          <cell r="Y220">
            <v>0.01</v>
          </cell>
          <cell r="Z220">
            <v>0.01</v>
          </cell>
          <cell r="AA220">
            <v>0.01</v>
          </cell>
          <cell r="AB220">
            <v>0.01</v>
          </cell>
          <cell r="AC220">
            <v>0.01</v>
          </cell>
          <cell r="AD220">
            <v>0.01</v>
          </cell>
          <cell r="AE220">
            <v>0.01</v>
          </cell>
          <cell r="AF220">
            <v>0.01</v>
          </cell>
          <cell r="AG220">
            <v>0.01</v>
          </cell>
          <cell r="AH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D222">
            <v>0.98</v>
          </cell>
          <cell r="E222">
            <v>0.97649036447428639</v>
          </cell>
          <cell r="F222">
            <v>0.97299329786849453</v>
          </cell>
          <cell r="G222">
            <v>0.96950875517004498</v>
          </cell>
          <cell r="H222">
            <v>0.96603669152756011</v>
          </cell>
          <cell r="I222">
            <v>0.96257706225028661</v>
          </cell>
          <cell r="J222">
            <v>0.95912982280752057</v>
          </cell>
          <cell r="K222">
            <v>0.9556949288280342</v>
          </cell>
          <cell r="L222">
            <v>0.95227233609950435</v>
          </cell>
          <cell r="M222">
            <v>0.94886200056794401</v>
          </cell>
          <cell r="N222">
            <v>0.94546387833713486</v>
          </cell>
          <cell r="O222">
            <v>0.94207792566806237</v>
          </cell>
          <cell r="P222">
            <v>0.93870409897835294</v>
          </cell>
          <cell r="Q222">
            <v>0.93534235484171269</v>
          </cell>
          <cell r="R222">
            <v>0.93199264998736864</v>
          </cell>
          <cell r="S222">
            <v>0.92865494129951187</v>
          </cell>
          <cell r="T222">
            <v>0.92532918581674217</v>
          </cell>
          <cell r="U222">
            <v>0.92201534073151548</v>
          </cell>
          <cell r="V222">
            <v>0.91871336338959275</v>
          </cell>
          <cell r="W222">
            <v>0.91542321128949078</v>
          </cell>
          <cell r="X222">
            <v>0.91214484208193525</v>
          </cell>
          <cell r="Y222">
            <v>0.90887821356931564</v>
          </cell>
          <cell r="Z222">
            <v>0.90562328370514211</v>
          </cell>
          <cell r="AA222">
            <v>0.90238001059350437</v>
          </cell>
          <cell r="AB222">
            <v>0.89914835248853209</v>
          </cell>
          <cell r="AC222">
            <v>0.89592826779385792</v>
          </cell>
          <cell r="AD222">
            <v>0.89271971506208203</v>
          </cell>
          <cell r="AE222">
            <v>0.88952265299423827</v>
          </cell>
          <cell r="AF222">
            <v>0.8863370404392632</v>
          </cell>
          <cell r="AG222">
            <v>0.88316283639346571</v>
          </cell>
          <cell r="AH222">
            <v>0.88</v>
          </cell>
        </row>
        <row r="223">
          <cell r="D223">
            <v>0</v>
          </cell>
          <cell r="E223">
            <v>0.01</v>
          </cell>
          <cell r="F223">
            <v>0.01</v>
          </cell>
          <cell r="G223">
            <v>0.01</v>
          </cell>
          <cell r="H223">
            <v>0.01</v>
          </cell>
          <cell r="I223">
            <v>0.01</v>
          </cell>
          <cell r="J223">
            <v>0.01</v>
          </cell>
          <cell r="K223">
            <v>0.01</v>
          </cell>
          <cell r="L223">
            <v>0.01</v>
          </cell>
          <cell r="M223">
            <v>0.01</v>
          </cell>
          <cell r="N223">
            <v>0.01</v>
          </cell>
          <cell r="O223">
            <v>0.01</v>
          </cell>
          <cell r="P223">
            <v>0.01</v>
          </cell>
          <cell r="Q223">
            <v>0.01</v>
          </cell>
          <cell r="R223">
            <v>0.01</v>
          </cell>
          <cell r="S223">
            <v>0.01</v>
          </cell>
          <cell r="T223">
            <v>0.01</v>
          </cell>
          <cell r="U223">
            <v>0.01</v>
          </cell>
          <cell r="V223">
            <v>0.01</v>
          </cell>
          <cell r="W223">
            <v>0.01</v>
          </cell>
          <cell r="X223">
            <v>0.01</v>
          </cell>
          <cell r="Y223">
            <v>0.01</v>
          </cell>
          <cell r="Z223">
            <v>0.01</v>
          </cell>
          <cell r="AA223">
            <v>0.01</v>
          </cell>
          <cell r="AB223">
            <v>0.01</v>
          </cell>
          <cell r="AC223">
            <v>0.01</v>
          </cell>
          <cell r="AD223">
            <v>0.01</v>
          </cell>
          <cell r="AE223">
            <v>0.01</v>
          </cell>
          <cell r="AF223">
            <v>0.01</v>
          </cell>
          <cell r="AG223">
            <v>0.01</v>
          </cell>
          <cell r="AH223">
            <v>0.01</v>
          </cell>
        </row>
        <row r="224">
          <cell r="D224">
            <v>0.01</v>
          </cell>
          <cell r="E224">
            <v>1.0771050560367692E-2</v>
          </cell>
          <cell r="F224">
            <v>1.1601553017399718E-2</v>
          </cell>
          <cell r="G224">
            <v>1.2496091412919871E-2</v>
          </cell>
          <cell r="H224">
            <v>1.3459603241553647E-2</v>
          </cell>
          <cell r="I224">
            <v>1.4497406703726321E-2</v>
          </cell>
          <cell r="J224">
            <v>1.5615230060004972E-2</v>
          </cell>
          <cell r="K224">
            <v>1.6819243248808697E-2</v>
          </cell>
          <cell r="L224">
            <v>1.8116091942004142E-2</v>
          </cell>
          <cell r="M224">
            <v>1.9512934226359635E-2</v>
          </cell>
          <cell r="N224">
            <v>2.1017480113324886E-2</v>
          </cell>
          <cell r="O224">
            <v>2.2638034095214483E-2</v>
          </cell>
          <cell r="P224">
            <v>2.4383540982688287E-2</v>
          </cell>
          <cell r="Q224">
            <v>2.6263635276533324E-2</v>
          </cell>
          <cell r="R224">
            <v>2.8288694346259694E-2</v>
          </cell>
          <cell r="S224">
            <v>3.0469895709035084E-2</v>
          </cell>
          <cell r="T224">
            <v>3.2819278725114746E-2</v>
          </cell>
          <cell r="U224">
            <v>3.5349811050301064E-2</v>
          </cell>
          <cell r="V224">
            <v>3.807546021222373E-2</v>
          </cell>
          <cell r="W224">
            <v>4.1011270705513019E-2</v>
          </cell>
          <cell r="X224">
            <v>4.4173447031400713E-2</v>
          </cell>
          <cell r="Y224">
            <v>4.7579443140094123E-2</v>
          </cell>
          <cell r="Z224">
            <v>5.1248058769609355E-2</v>
          </cell>
          <cell r="AA224">
            <v>5.5199543212815727E-2</v>
          </cell>
          <cell r="AB224">
            <v>5.9455707085443947E-2</v>
          </cell>
          <cell r="AC224">
            <v>6.4040042711972833E-2</v>
          </cell>
          <cell r="AD224">
            <v>6.8977853793876595E-2</v>
          </cell>
          <cell r="AE224">
            <v>7.4296395075949526E-2</v>
          </cell>
          <cell r="AF224">
            <v>8.0025022781610555E-2</v>
          </cell>
          <cell r="AG224">
            <v>8.6195356647530363E-2</v>
          </cell>
          <cell r="AH224">
            <v>0.1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D233">
            <v>0.01</v>
          </cell>
          <cell r="E233">
            <v>0.01</v>
          </cell>
          <cell r="F233">
            <v>0.01</v>
          </cell>
          <cell r="G233">
            <v>0.01</v>
          </cell>
          <cell r="H233">
            <v>0.01</v>
          </cell>
          <cell r="I233">
            <v>0.01</v>
          </cell>
          <cell r="J233">
            <v>0.01</v>
          </cell>
          <cell r="K233">
            <v>0.01</v>
          </cell>
          <cell r="L233">
            <v>0.01</v>
          </cell>
          <cell r="M233">
            <v>0.01</v>
          </cell>
          <cell r="N233">
            <v>0.01</v>
          </cell>
          <cell r="O233">
            <v>0.01</v>
          </cell>
          <cell r="P233">
            <v>0.01</v>
          </cell>
          <cell r="Q233">
            <v>0.01</v>
          </cell>
          <cell r="R233">
            <v>0.01</v>
          </cell>
          <cell r="S233">
            <v>0.01</v>
          </cell>
          <cell r="T233">
            <v>0.01</v>
          </cell>
          <cell r="U233">
            <v>0.01</v>
          </cell>
          <cell r="V233">
            <v>0.01</v>
          </cell>
          <cell r="W233">
            <v>0.01</v>
          </cell>
          <cell r="X233">
            <v>0.01</v>
          </cell>
          <cell r="Y233">
            <v>0.01</v>
          </cell>
          <cell r="Z233">
            <v>0.01</v>
          </cell>
          <cell r="AA233">
            <v>0.01</v>
          </cell>
          <cell r="AB233">
            <v>0.01</v>
          </cell>
          <cell r="AC233">
            <v>0.01</v>
          </cell>
          <cell r="AD233">
            <v>0.01</v>
          </cell>
          <cell r="AE233">
            <v>0.01</v>
          </cell>
          <cell r="AF233">
            <v>0.01</v>
          </cell>
          <cell r="AG233">
            <v>0.01</v>
          </cell>
          <cell r="AH233">
            <v>0.01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D235">
            <v>0.98</v>
          </cell>
          <cell r="E235">
            <v>0.97298492050300656</v>
          </cell>
          <cell r="F235">
            <v>0.96602005665943058</v>
          </cell>
          <cell r="G235">
            <v>0.95910504901335303</v>
          </cell>
          <cell r="H235">
            <v>0.95223954068192806</v>
          </cell>
          <cell r="I235">
            <v>0.94542317733696457</v>
          </cell>
          <cell r="J235">
            <v>0.93865560718663921</v>
          </cell>
          <cell r="K235">
            <v>0.93193648095734039</v>
          </cell>
          <cell r="L235">
            <v>0.92526545187564235</v>
          </cell>
          <cell r="M235">
            <v>0.91864217565040851</v>
          </cell>
          <cell r="N235">
            <v>0.91206631045502218</v>
          </cell>
          <cell r="O235">
            <v>0.90553751690974515</v>
          </cell>
          <cell r="P235">
            <v>0.8990554580642024</v>
          </cell>
          <cell r="Q235">
            <v>0.89261979937999203</v>
          </cell>
          <cell r="R235">
            <v>0.88623020871341962</v>
          </cell>
          <cell r="S235">
            <v>0.87988635629835665</v>
          </cell>
          <cell r="T235">
            <v>0.87358791472922115</v>
          </cell>
          <cell r="U235">
            <v>0.86733455894408018</v>
          </cell>
          <cell r="V235">
            <v>0.86112596620787363</v>
          </cell>
          <cell r="W235">
            <v>0.85496181609575783</v>
          </cell>
          <cell r="X235">
            <v>0.84884179047656849</v>
          </cell>
          <cell r="Y235">
            <v>0.8427655734964018</v>
          </cell>
          <cell r="Z235">
            <v>0.83673285156231358</v>
          </cell>
          <cell r="AA235">
            <v>0.83074331332613438</v>
          </cell>
          <cell r="AB235">
            <v>0.82479664966840116</v>
          </cell>
          <cell r="AC235">
            <v>0.81889255368240355</v>
          </cell>
          <cell r="AD235">
            <v>0.81303072065834436</v>
          </cell>
          <cell r="AE235">
            <v>0.80721084806761367</v>
          </cell>
          <cell r="AF235">
            <v>0.80143263554717514</v>
          </cell>
          <cell r="AG235">
            <v>0.79569578488406456</v>
          </cell>
          <cell r="AH235">
            <v>0.79</v>
          </cell>
        </row>
        <row r="236">
          <cell r="D236">
            <v>0</v>
          </cell>
          <cell r="E236">
            <v>0.01</v>
          </cell>
          <cell r="F236">
            <v>0.01</v>
          </cell>
          <cell r="G236">
            <v>0.01</v>
          </cell>
          <cell r="H236">
            <v>0.01</v>
          </cell>
          <cell r="I236">
            <v>0.01</v>
          </cell>
          <cell r="J236">
            <v>0.01</v>
          </cell>
          <cell r="K236">
            <v>0.01</v>
          </cell>
          <cell r="L236">
            <v>0.01</v>
          </cell>
          <cell r="M236">
            <v>0.01</v>
          </cell>
          <cell r="N236">
            <v>0.01</v>
          </cell>
          <cell r="O236">
            <v>0.01</v>
          </cell>
          <cell r="P236">
            <v>0.01</v>
          </cell>
          <cell r="Q236">
            <v>0.01</v>
          </cell>
          <cell r="R236">
            <v>0.01</v>
          </cell>
          <cell r="S236">
            <v>0.01</v>
          </cell>
          <cell r="T236">
            <v>0.01</v>
          </cell>
          <cell r="U236">
            <v>0.01</v>
          </cell>
          <cell r="V236">
            <v>0.01</v>
          </cell>
          <cell r="W236">
            <v>0.01</v>
          </cell>
          <cell r="X236">
            <v>0.01</v>
          </cell>
          <cell r="Y236">
            <v>0.01</v>
          </cell>
          <cell r="Z236">
            <v>0.01</v>
          </cell>
          <cell r="AA236">
            <v>0.01</v>
          </cell>
          <cell r="AB236">
            <v>0.01</v>
          </cell>
          <cell r="AC236">
            <v>0.01</v>
          </cell>
          <cell r="AD236">
            <v>0.01</v>
          </cell>
          <cell r="AE236">
            <v>0.01</v>
          </cell>
          <cell r="AF236">
            <v>0.01</v>
          </cell>
        </row>
        <row r="237">
          <cell r="D237">
            <v>0.01</v>
          </cell>
          <cell r="E237">
            <v>1.1014599476471452E-2</v>
          </cell>
          <cell r="F237">
            <v>1.2132140162708518E-2</v>
          </cell>
          <cell r="G237">
            <v>1.3363066468464751E-2</v>
          </cell>
          <cell r="H237">
            <v>1.4718882492760505E-2</v>
          </cell>
          <cell r="I237">
            <v>1.6212259539900468E-2</v>
          </cell>
          <cell r="J237">
            <v>1.7857154544060699E-2</v>
          </cell>
          <cell r="K237">
            <v>1.9668940509228079E-2</v>
          </cell>
          <cell r="L237">
            <v>2.1664550183569171E-2</v>
          </cell>
          <cell r="M237">
            <v>2.3862634310993048E-2</v>
          </cell>
          <cell r="N237">
            <v>2.6283735938909373E-2</v>
          </cell>
          <cell r="O237">
            <v>2.8950482411242505E-2</v>
          </cell>
          <cell r="P237">
            <v>3.1887796841046763E-2</v>
          </cell>
          <cell r="Q237">
            <v>3.5123131039122166E-2</v>
          </cell>
          <cell r="R237">
            <v>3.8686722075555319E-2</v>
          </cell>
          <cell r="S237">
            <v>4.2611874871980815E-2</v>
          </cell>
          <cell r="T237">
            <v>4.6935273465638687E-2</v>
          </cell>
          <cell r="U237">
            <v>5.1697323854266827E-2</v>
          </cell>
          <cell r="V237">
            <v>5.6942531626018249E-2</v>
          </cell>
          <cell r="W237">
            <v>6.271991790368997E-2</v>
          </cell>
          <cell r="X237">
            <v>6.9083477490631595E-2</v>
          </cell>
          <cell r="Y237">
            <v>7.6092683500113806E-2</v>
          </cell>
          <cell r="Z237">
            <v>8.3813043184366137E-2</v>
          </cell>
          <cell r="AA237">
            <v>9.2316710157999846E-2</v>
          </cell>
          <cell r="AB237">
            <v>0.10168315873758718</v>
          </cell>
          <cell r="AC237">
            <v>0.11199992669969913</v>
          </cell>
          <cell r="AD237">
            <v>0.12336343339913471</v>
          </cell>
          <cell r="AE237">
            <v>0.13587988089338299</v>
          </cell>
          <cell r="AF237">
            <v>0.14966624649512594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et Schedules Here"/>
      <sheetName val="FoPITY-1"/>
      <sheetName val="FoPITY-1-WebApp"/>
      <sheetName val="FoPITY-policy-elements"/>
      <sheetName val="Exogenous GDP Adjustment"/>
    </sheetNames>
    <sheetDataSet>
      <sheetData sheetId="0" refreshError="1">
        <row r="88">
          <cell r="B88">
            <v>1.0249999999999999</v>
          </cell>
        </row>
        <row r="123">
          <cell r="A123">
            <v>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B19E-7F39-B24D-AD01-49D6E18CB25D}">
  <sheetPr codeName="Sheet15"/>
  <dimension ref="A1:AJ258"/>
  <sheetViews>
    <sheetView tabSelected="1" zoomScale="94" zoomScaleNormal="80" workbookViewId="0">
      <pane ySplit="1" topLeftCell="A2" activePane="bottomLeft" state="frozen"/>
      <selection activeCell="AJ29" sqref="AJ29"/>
      <selection pane="bottomLeft" activeCell="B17" sqref="B17:B36"/>
    </sheetView>
  </sheetViews>
  <sheetFormatPr baseColWidth="10" defaultColWidth="8.83203125" defaultRowHeight="14.25" customHeight="1"/>
  <cols>
    <col min="1" max="1" width="28.33203125" style="5" bestFit="1" customWidth="1"/>
    <col min="2" max="2" width="31.6640625" style="5" bestFit="1" customWidth="1"/>
    <col min="3" max="3" width="12.83203125" style="5" customWidth="1"/>
    <col min="4" max="4" width="16.1640625" style="8" customWidth="1"/>
    <col min="5" max="35" width="9.33203125" style="5" customWidth="1"/>
    <col min="36" max="36" width="10" style="5" bestFit="1" customWidth="1"/>
    <col min="37" max="16384" width="8.83203125" style="5"/>
  </cols>
  <sheetData>
    <row r="1" spans="1:35" ht="15">
      <c r="A1" s="1" t="s">
        <v>0</v>
      </c>
      <c r="B1" s="2" t="s">
        <v>1</v>
      </c>
      <c r="C1" s="3" t="s">
        <v>2</v>
      </c>
      <c r="D1" s="4"/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  <c r="U1" s="1">
        <v>2036</v>
      </c>
      <c r="V1" s="1">
        <v>2037</v>
      </c>
      <c r="W1" s="1">
        <v>2038</v>
      </c>
      <c r="X1" s="1">
        <v>2039</v>
      </c>
      <c r="Y1" s="1">
        <v>2040</v>
      </c>
      <c r="Z1" s="1">
        <v>2041</v>
      </c>
      <c r="AA1" s="1">
        <v>2042</v>
      </c>
      <c r="AB1" s="1">
        <v>2043</v>
      </c>
      <c r="AC1" s="1">
        <v>2044</v>
      </c>
      <c r="AD1" s="1">
        <v>2045</v>
      </c>
      <c r="AE1" s="1">
        <v>2046</v>
      </c>
      <c r="AF1" s="1">
        <v>2047</v>
      </c>
      <c r="AG1" s="1">
        <v>2048</v>
      </c>
      <c r="AH1" s="1">
        <v>2049</v>
      </c>
      <c r="AI1" s="1">
        <v>2050</v>
      </c>
    </row>
    <row r="2" spans="1:35" ht="14">
      <c r="B2" s="6" t="s">
        <v>3</v>
      </c>
      <c r="C2" s="7"/>
      <c r="K2" s="9"/>
      <c r="L2" s="10"/>
      <c r="M2" s="10"/>
      <c r="N2" s="9"/>
      <c r="O2" s="9"/>
      <c r="P2" s="10"/>
      <c r="Q2" s="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" thickBot="1">
      <c r="A3" s="11"/>
      <c r="B3" s="12" t="s">
        <v>4</v>
      </c>
    </row>
    <row r="4" spans="1:35" ht="16" thickTop="1" thickBot="1">
      <c r="C4" s="13" t="s">
        <v>5</v>
      </c>
      <c r="D4" s="14" t="s">
        <v>6</v>
      </c>
      <c r="E4" s="15">
        <f>(E135+E136)*E83/(10^3)</f>
        <v>66246.608438999989</v>
      </c>
      <c r="F4" s="15">
        <f>(F135+F136)*F83/(10^3)</f>
        <v>65744.108368944726</v>
      </c>
      <c r="G4" s="15">
        <f>(G135+G136)*G83/(10^3)</f>
        <v>65830.888629242283</v>
      </c>
      <c r="H4" s="15">
        <f>(H135+H136)*H83/(10^3)</f>
        <v>65833.823122020869</v>
      </c>
      <c r="I4" s="15">
        <f>(I135+I136)*I83/(10^3)</f>
        <v>64132.252372802745</v>
      </c>
      <c r="J4" s="15">
        <f>(J135+J136)*J83/(10^3)</f>
        <v>62447.852764032235</v>
      </c>
      <c r="K4" s="15">
        <f>(K135+K136)*K83/(10^3)</f>
        <v>61161.213092984843</v>
      </c>
      <c r="L4" s="15">
        <f>(L135+L136)*L83/(10^3)</f>
        <v>59878.989400291503</v>
      </c>
      <c r="M4" s="15">
        <f>(M135+M136)*M83/(10^3)</f>
        <v>58600.637784984297</v>
      </c>
      <c r="N4" s="15">
        <f>(N135+N136)*N83/(10^3)</f>
        <v>57325.601929083023</v>
      </c>
      <c r="O4" s="15">
        <f>(O135+O136)*O83/(10^3)</f>
        <v>56053.323948786732</v>
      </c>
      <c r="P4" s="15">
        <f>(P135+P136)*P83/(10^3)</f>
        <v>54783.219822210318</v>
      </c>
      <c r="Q4" s="15">
        <f>(Q135+Q136)*Q83/(10^3)</f>
        <v>53514.707568424674</v>
      </c>
      <c r="R4" s="15">
        <f>(R135+R136)*R83/(10^3)</f>
        <v>52247.165971215443</v>
      </c>
      <c r="S4" s="15">
        <f>(S135+S136)*S83/(10^3)</f>
        <v>50979.984705128976</v>
      </c>
      <c r="T4" s="15">
        <f>(T135+T136)*T83/(10^3)</f>
        <v>49712.512338484295</v>
      </c>
      <c r="U4" s="15">
        <f>(U135+U136)*U83/(10^3)</f>
        <v>48733.179637118767</v>
      </c>
      <c r="V4" s="15">
        <f>(V135+V136)*V83/(10^3)</f>
        <v>47738.735002746675</v>
      </c>
      <c r="W4" s="15">
        <f>(W135+W136)*W83/(10^3)</f>
        <v>46728.305728255255</v>
      </c>
      <c r="X4" s="15">
        <f>(X135+X136)*X83/(10^3)</f>
        <v>45700.976442316154</v>
      </c>
      <c r="Y4" s="15">
        <f>(Y135+Y136)*Y83/(10^3)</f>
        <v>44655.78643216069</v>
      </c>
      <c r="Z4" s="15">
        <f>(Z135+Z136)*Z83/(10^3)</f>
        <v>43591.726767176107</v>
      </c>
      <c r="AA4" s="15">
        <f>(AA135+AA136)*AA83/(10^3)</f>
        <v>42507.737206689024</v>
      </c>
      <c r="AB4" s="15">
        <f>(AB135+AB136)*AB83/(10^3)</f>
        <v>41402.702873831237</v>
      </c>
      <c r="AC4" s="15">
        <f>(AC135+AC136)*AC83/(10^3)</f>
        <v>40275.450675776003</v>
      </c>
      <c r="AD4" s="15">
        <f>(AD135+AD136)*AD83/(10^3)</f>
        <v>39124.745448881506</v>
      </c>
      <c r="AE4" s="15">
        <f>(AE135+AE136)*AE83/(10^3)</f>
        <v>37949.28580536606</v>
      </c>
      <c r="AF4" s="15">
        <f>(AF135+AF136)*AF83/(10^3)</f>
        <v>36747.699656054319</v>
      </c>
      <c r="AG4" s="15">
        <f>(AG135+AG136)*AG83/(10^3)</f>
        <v>35518.539381457354</v>
      </c>
      <c r="AH4" s="15">
        <f>(AH135+AH136)*AH83/(10^3)</f>
        <v>34260.276620966353</v>
      </c>
      <c r="AI4" s="15">
        <f>(AI135+AI136)*AI83/(10^3)</f>
        <v>31777.000290983571</v>
      </c>
    </row>
    <row r="5" spans="1:35" ht="16" thickTop="1" thickBot="1">
      <c r="C5" s="13" t="s">
        <v>5</v>
      </c>
      <c r="D5" s="14" t="s">
        <v>7</v>
      </c>
      <c r="E5" s="15">
        <f>(E137+E138)*E84/(10^3)</f>
        <v>53.952173583000004</v>
      </c>
      <c r="F5" s="15">
        <f>(F137+F138)*F84/(10^3)</f>
        <v>57.393094359488316</v>
      </c>
      <c r="G5" s="15">
        <f>(G137+G138)*G84/(10^3)</f>
        <v>63.647961336665809</v>
      </c>
      <c r="H5" s="15">
        <f>(H137+H138)*H84/(10^3)</f>
        <v>70.515073061050501</v>
      </c>
      <c r="I5" s="15">
        <f>(I137+I138)*I84/(10^3)</f>
        <v>76.123936320388452</v>
      </c>
      <c r="J5" s="15">
        <f>(J137+J138)*J84/(10^3)</f>
        <v>82.170526502303233</v>
      </c>
      <c r="K5" s="15">
        <f>(K137+K138)*K84/(10^3)</f>
        <v>89.512850732902805</v>
      </c>
      <c r="L5" s="15">
        <f>(L137+L138)*L84/(10^3)</f>
        <v>97.511259863862165</v>
      </c>
      <c r="M5" s="15">
        <f>(M137+M138)*M84/(10^3)</f>
        <v>106.22437160786984</v>
      </c>
      <c r="N5" s="15">
        <f>(N137+N138)*N84/(10^3)</f>
        <v>115.71603774992178</v>
      </c>
      <c r="O5" s="15">
        <f>(O137+O138)*O84/(10^3)</f>
        <v>126.05583698522285</v>
      </c>
      <c r="P5" s="15">
        <f>(P137+P138)*P84/(10^3)</f>
        <v>137.31953857563204</v>
      </c>
      <c r="Q5" s="15">
        <f>(Q137+Q138)*Q84/(10^3)</f>
        <v>149.58972306158154</v>
      </c>
      <c r="R5" s="15">
        <f>(R137+R138)*R84/(10^3)</f>
        <v>162.95628671826196</v>
      </c>
      <c r="S5" s="15">
        <f>(S137+S138)*S84/(10^3)</f>
        <v>177.51724024532351</v>
      </c>
      <c r="T5" s="15">
        <f>(T137+T138)*T84/(10^3)</f>
        <v>193.37928000894894</v>
      </c>
      <c r="U5" s="15">
        <f>(U137+U138)*U84/(10^3)</f>
        <v>211.91577963725101</v>
      </c>
      <c r="V5" s="15">
        <f>(V137+V138)*V84/(10^3)</f>
        <v>232.22910777817424</v>
      </c>
      <c r="W5" s="15">
        <f>(W137+W138)*W84/(10^3)</f>
        <v>254.48958351172672</v>
      </c>
      <c r="X5" s="15">
        <f>(X137+X138)*X84/(10^3)</f>
        <v>278.88385196672135</v>
      </c>
      <c r="Y5" s="15">
        <f>(Y137+Y138)*Y84/(10^3)</f>
        <v>305.61644926505329</v>
      </c>
      <c r="Z5" s="15">
        <f>(Z137+Z138)*Z84/(10^3)</f>
        <v>334.91151747475237</v>
      </c>
      <c r="AA5" s="15">
        <f>(AA137+AA138)*AA84/(10^3)</f>
        <v>367.01468395100329</v>
      </c>
      <c r="AB5" s="15">
        <f>(AB137+AB138)*AB84/(10^3)</f>
        <v>402.1951208226493</v>
      </c>
      <c r="AC5" s="15">
        <f>(AC137+AC138)*AC84/(10^3)</f>
        <v>440.74780189214619</v>
      </c>
      <c r="AD5" s="15">
        <f>(AD137+AD138)*AD84/(10^3)</f>
        <v>482.99597587216442</v>
      </c>
      <c r="AE5" s="15">
        <f>(AE137+AE138)*AE84/(10^3)</f>
        <v>529.29387669593143</v>
      </c>
      <c r="AF5" s="15">
        <f>(AF137+AF138)*AF84/(10^3)</f>
        <v>580.02969362617694</v>
      </c>
      <c r="AG5" s="15">
        <f>(AG137+AG138)*AG84/(10^3)</f>
        <v>635.6288260658481</v>
      </c>
      <c r="AH5" s="15">
        <f>(AH137+AH138)*AH84/(10^3)</f>
        <v>696.55745036087296</v>
      </c>
      <c r="AI5" s="15">
        <f>(AI137+AI138)*AI84/(10^3)</f>
        <v>837.33292441725848</v>
      </c>
    </row>
    <row r="6" spans="1:35" ht="16" thickTop="1" thickBot="1">
      <c r="C6" s="13" t="s">
        <v>5</v>
      </c>
      <c r="D6" s="14" t="s">
        <v>8</v>
      </c>
      <c r="E6" s="15">
        <f>(E139)*E85/(10^3)</f>
        <v>958.2903</v>
      </c>
      <c r="F6" s="15">
        <f>(F139)*F85/(10^3)</f>
        <v>1000.8261640652527</v>
      </c>
      <c r="G6" s="15">
        <f>(G139)*G85/(10^3)</f>
        <v>1053.7463614975081</v>
      </c>
      <c r="H6" s="15">
        <f>(H139)*H85/(10^3)</f>
        <v>1108.3734934109152</v>
      </c>
      <c r="I6" s="15">
        <f>(I139)*I85/(10^3)</f>
        <v>1135.9991037034376</v>
      </c>
      <c r="J6" s="15">
        <f>(J139)*J85/(10^3)</f>
        <v>1164.1941204609479</v>
      </c>
      <c r="K6" s="15">
        <f>(K139)*K85/(10^3)</f>
        <v>1200.4419151958302</v>
      </c>
      <c r="L6" s="15">
        <f>(L139)*L85/(10^3)</f>
        <v>1237.8184765328226</v>
      </c>
      <c r="M6" s="15">
        <f>(M139)*M85/(10^3)</f>
        <v>1276.3588518481354</v>
      </c>
      <c r="N6" s="15">
        <f>(N139)*N85/(10^3)</f>
        <v>1316.0991518222677</v>
      </c>
      <c r="O6" s="15">
        <f>(O139)*O85/(10^3)</f>
        <v>1357.0768618215768</v>
      </c>
      <c r="P6" s="15">
        <f>(P139)*P85/(10^3)</f>
        <v>1399.3303434298105</v>
      </c>
      <c r="Q6" s="15">
        <f>(Q139)*Q85/(10^3)</f>
        <v>1442.899573425459</v>
      </c>
      <c r="R6" s="15">
        <f>(R139)*R85/(10^3)</f>
        <v>1487.8251558760983</v>
      </c>
      <c r="S6" s="15">
        <f>(S139)*S85/(10^3)</f>
        <v>1534.1497224178081</v>
      </c>
      <c r="T6" s="15">
        <f>(T139)*T85/(10^3)</f>
        <v>1581.9165800046383</v>
      </c>
      <c r="U6" s="15">
        <f>(U139)*U85/(10^3)</f>
        <v>1640.9047264289463</v>
      </c>
      <c r="V6" s="15">
        <f>(V139)*V85/(10^3)</f>
        <v>1702.0924840480275</v>
      </c>
      <c r="W6" s="15">
        <f>(W139)*W85/(10^3)</f>
        <v>1765.5618742458628</v>
      </c>
      <c r="X6" s="15">
        <f>(X139)*X85/(10^3)</f>
        <v>1831.3979769048822</v>
      </c>
      <c r="Y6" s="15">
        <f>(Y139)*Y85/(10^3)</f>
        <v>1899.6890444544304</v>
      </c>
      <c r="Z6" s="15">
        <f>(Z139)*Z85/(10^3)</f>
        <v>1970.5266201719842</v>
      </c>
      <c r="AA6" s="15">
        <f>(AA139)*AA85/(10^3)</f>
        <v>2044.0056608957125</v>
      </c>
      <c r="AB6" s="15">
        <f>(AB139)*AB85/(10^3)</f>
        <v>2120.2246643128688</v>
      </c>
      <c r="AC6" s="15">
        <f>(AC139)*AC85/(10^3)</f>
        <v>2199.2858009946463</v>
      </c>
      <c r="AD6" s="15">
        <f>(AD139)*AD85/(10^3)</f>
        <v>2281.2950513544811</v>
      </c>
      <c r="AE6" s="15">
        <f>(AE139)*AE85/(10^3)</f>
        <v>2366.3623477134029</v>
      </c>
      <c r="AF6" s="15">
        <f>(AF139)*AF85/(10^3)</f>
        <v>2454.6017216628679</v>
      </c>
      <c r="AG6" s="15">
        <f>(AG139)*AG85/(10^3)</f>
        <v>2546.1314569226015</v>
      </c>
      <c r="AH6" s="15">
        <f>(AH139)*AH85/(10^3)</f>
        <v>2641.0742478983725</v>
      </c>
      <c r="AI6" s="15">
        <f>(AI139)*AI85/(10^3)</f>
        <v>2853.125322294849</v>
      </c>
    </row>
    <row r="7" spans="1:35" ht="16" thickTop="1" thickBot="1">
      <c r="C7" s="13" t="s">
        <v>9</v>
      </c>
      <c r="D7" s="14" t="s">
        <v>10</v>
      </c>
      <c r="E7" s="15">
        <f>(E144+E145)*E87/(10^3)</f>
        <v>66246.608438999989</v>
      </c>
      <c r="F7" s="15">
        <f>(F144+F145)*F87/(10^3)</f>
        <v>64710.12605868539</v>
      </c>
      <c r="G7" s="15">
        <f>(G144+G145)*G87/(10^3)</f>
        <v>63661.784856686179</v>
      </c>
      <c r="H7" s="15">
        <f>(H144+H145)*H87/(10^3)</f>
        <v>62571.62158340797</v>
      </c>
      <c r="I7" s="15">
        <f>(I144+I145)*I87/(10^3)</f>
        <v>59929.477000796367</v>
      </c>
      <c r="J7" s="15">
        <f>(J144+J145)*J87/(10^3)</f>
        <v>57396.665968923793</v>
      </c>
      <c r="K7" s="15">
        <f>(K144+K145)*K87/(10^3)</f>
        <v>55091.718484186786</v>
      </c>
      <c r="L7" s="15">
        <f>(L144+L145)*L87/(10^3)</f>
        <v>52884.077642126358</v>
      </c>
      <c r="M7" s="15">
        <f>(M144+M145)*M87/(10^3)</f>
        <v>50770.32969779415</v>
      </c>
      <c r="N7" s="15">
        <f>(N144+N145)*N87/(10^3)</f>
        <v>48747.277296375418</v>
      </c>
      <c r="O7" s="15">
        <f>(O144+O145)*O87/(10^3)</f>
        <v>46811.94194186612</v>
      </c>
      <c r="P7" s="15">
        <f>(P144+P145)*P87/(10^3)</f>
        <v>44961.567994341953</v>
      </c>
      <c r="Q7" s="15">
        <f>(Q144+Q145)*Q87/(10^3)</f>
        <v>43193.628369470913</v>
      </c>
      <c r="R7" s="15">
        <f>(R144+R145)*R87/(10^3)</f>
        <v>41505.832140982908</v>
      </c>
      <c r="S7" s="15">
        <f>(S144+S145)*S87/(10^3)</f>
        <v>39896.134277709651</v>
      </c>
      <c r="T7" s="15">
        <f>(T144+T145)*T87/(10^3)</f>
        <v>38362.747782103586</v>
      </c>
      <c r="U7" s="15">
        <f>(U144+U145)*U87/(10^3)</f>
        <v>36904.158537477291</v>
      </c>
      <c r="V7" s="15">
        <f>(V144+V145)*V87/(10^3)</f>
        <v>35519.143217303455</v>
      </c>
      <c r="W7" s="15">
        <f>(W144+W145)*W87/(10^3)</f>
        <v>34206.790662620129</v>
      </c>
      <c r="X7" s="15">
        <f>(X144+X145)*X87/(10^3)</f>
        <v>32966.527193853697</v>
      </c>
      <c r="Y7" s="15">
        <f>(Y144+Y145)*Y87/(10^3)</f>
        <v>31798.146392300368</v>
      </c>
      <c r="Z7" s="15">
        <f>(Z144+Z145)*Z87/(10^3)</f>
        <v>30701.843965351934</v>
      </c>
      <c r="AA7" s="15">
        <f>(AA144+AA145)*AA87/(10^3)</f>
        <v>29678.258399750404</v>
      </c>
      <c r="AB7" s="15">
        <f>(AB144+AB145)*AB87/(10^3)</f>
        <v>28728.518210354301</v>
      </c>
      <c r="AC7" s="15">
        <f>(AC144+AC145)*AC87/(10^3)</f>
        <v>27854.296709980379</v>
      </c>
      <c r="AD7" s="15">
        <f>(AD144+AD145)*AD87/(10^3)</f>
        <v>27057.875361004204</v>
      </c>
      <c r="AE7" s="15">
        <f>(AE144+AE145)*AE87/(10^3)</f>
        <v>26342.216924029188</v>
      </c>
      <c r="AF7" s="15">
        <f>(AF144+AF145)*AF87/(10^3)</f>
        <v>25711.049795891195</v>
      </c>
      <c r="AG7" s="15">
        <f>(AG144+AG145)*AG87/(10^3)</f>
        <v>25168.965131788198</v>
      </c>
      <c r="AH7" s="15">
        <f>(AH144+AH145)*AH87/(10^3)</f>
        <v>24721.528578113466</v>
      </c>
      <c r="AI7" s="15">
        <f>(AI144+AI145)*AI87/(10^3)</f>
        <v>23836.432743910274</v>
      </c>
    </row>
    <row r="8" spans="1:35" ht="16" thickTop="1" thickBot="1">
      <c r="C8" s="13" t="s">
        <v>9</v>
      </c>
      <c r="D8" s="14" t="s">
        <v>7</v>
      </c>
      <c r="E8" s="15">
        <f>E5</f>
        <v>53.952173583000004</v>
      </c>
      <c r="F8" s="15">
        <f>(F147+F146)*F88/(10^3)</f>
        <v>59.125576535979583</v>
      </c>
      <c r="G8" s="15">
        <f>(G147+G146)*G88/(10^3)</f>
        <v>67.483575108390099</v>
      </c>
      <c r="H8" s="15">
        <f>(H147+H146)*H88/(10^3)</f>
        <v>76.950741833215844</v>
      </c>
      <c r="I8" s="15">
        <f>(I147+I146)*I88/(10^3)</f>
        <v>85.505099657247726</v>
      </c>
      <c r="J8" s="15">
        <f>(J147+J146)*J88/(10^3)</f>
        <v>95.006720017161442</v>
      </c>
      <c r="K8" s="15">
        <f>(K147+K146)*K88/(10^3)</f>
        <v>106.43610582043418</v>
      </c>
      <c r="L8" s="15">
        <f>(L147+L146)*L88/(10^3)</f>
        <v>119.25115371038349</v>
      </c>
      <c r="M8" s="15">
        <f>(M147+M146)*M88/(10^3)</f>
        <v>133.62343661962782</v>
      </c>
      <c r="N8" s="15">
        <f>(N147+N146)*N88/(10^3)</f>
        <v>149.74696028281286</v>
      </c>
      <c r="O8" s="15">
        <f>(O147+O146)*O88/(10^3)</f>
        <v>167.84148271201917</v>
      </c>
      <c r="P8" s="15">
        <f>(P147+P146)*P88/(10^3)</f>
        <v>188.15644384682324</v>
      </c>
      <c r="Q8" s="15">
        <f>(Q147+Q146)*Q88/(10^3)</f>
        <v>210.97564990661479</v>
      </c>
      <c r="R8" s="15">
        <f>(R147+R146)*R88/(10^3)</f>
        <v>236.6228982943887</v>
      </c>
      <c r="S8" s="15">
        <f>(S147+S146)*S88/(10^3)</f>
        <v>265.46878324173463</v>
      </c>
      <c r="T8" s="15">
        <f>(T147+T146)*T88/(10^3)</f>
        <v>297.93899401552267</v>
      </c>
      <c r="U8" s="15">
        <f>(U147+U146)*U88/(10^3)</f>
        <v>334.52451212229118</v>
      </c>
      <c r="V8" s="15">
        <f>(V147+V146)*V88/(10^3)</f>
        <v>375.79423914089148</v>
      </c>
      <c r="W8" s="15">
        <f>(W147+W146)*W88/(10^3)</f>
        <v>422.41075271854726</v>
      </c>
      <c r="X8" s="15">
        <f>(X147+X146)*X88/(10^3)</f>
        <v>475.15010839850061</v>
      </c>
      <c r="Y8" s="15">
        <f>(Y147+Y146)*Y88/(10^3)</f>
        <v>534.92689735089357</v>
      </c>
      <c r="Z8" s="15">
        <f>(Z147+Z146)*Z88/(10^3)</f>
        <v>602.826158836231</v>
      </c>
      <c r="AA8" s="15">
        <f>(AA147+AA146)*AA88/(10^3)</f>
        <v>680.1442634959559</v>
      </c>
      <c r="AB8" s="15">
        <f>(AB147+AB146)*AB88/(10^3)</f>
        <v>768.44157226931156</v>
      </c>
      <c r="AC8" s="15">
        <f>(AC147+AC146)*AC88/(10^3)</f>
        <v>869.61059320959032</v>
      </c>
      <c r="AD8" s="15">
        <f>(AD147+AD146)*AD88/(10^3)</f>
        <v>985.96458127894857</v>
      </c>
      <c r="AE8" s="15">
        <f>(AE147+AE146)*AE88/(10^3)</f>
        <v>1120.3531565949361</v>
      </c>
      <c r="AF8" s="15">
        <f>(AF147+AF146)*AF88/(10^3)</f>
        <v>1276.3136911625736</v>
      </c>
      <c r="AG8" s="15">
        <f>(AG147+AG146)*AG88/(10^3)</f>
        <v>1458.2701152853695</v>
      </c>
      <c r="AH8" s="15">
        <f>(AH147+AH146)*AH88/(10^3)</f>
        <v>1671.7946662973382</v>
      </c>
      <c r="AI8" s="15">
        <f>(AI147+AI146)*AI88/(10^3)</f>
        <v>2182.7299287215569</v>
      </c>
    </row>
    <row r="9" spans="1:35" ht="16" thickTop="1" thickBot="1">
      <c r="C9" s="13" t="s">
        <v>9</v>
      </c>
      <c r="D9" s="14" t="s">
        <v>8</v>
      </c>
      <c r="E9" s="15">
        <f>(E148)*E89/(10^3)</f>
        <v>958.2903</v>
      </c>
      <c r="F9" s="15">
        <f>(F148)*F89/(10^3)</f>
        <v>1135.5072452949412</v>
      </c>
      <c r="G9" s="15">
        <f>(G148)*G89/(10^3)</f>
        <v>1327.7798625595258</v>
      </c>
      <c r="H9" s="15">
        <f>(H148)*H89/(10^3)</f>
        <v>1516.3964591861361</v>
      </c>
      <c r="I9" s="15">
        <f>(I148)*I89/(10^3)</f>
        <v>1658.9226193688048</v>
      </c>
      <c r="J9" s="15">
        <f>(J148)*J89/(10^3)</f>
        <v>1790.5932119352801</v>
      </c>
      <c r="K9" s="15">
        <f>(K148)*K89/(10^3)</f>
        <v>1916.1431856427889</v>
      </c>
      <c r="L9" s="15">
        <f>(L148)*L89/(10^3)</f>
        <v>2032.4927567553648</v>
      </c>
      <c r="M9" s="15">
        <f>(M148)*M89/(10^3)</f>
        <v>2140.0531937303799</v>
      </c>
      <c r="N9" s="15">
        <f>(N148)*N89/(10^3)</f>
        <v>2239.2138419597136</v>
      </c>
      <c r="O9" s="15">
        <f>(O148)*O89/(10^3)</f>
        <v>2330.3426028241515</v>
      </c>
      <c r="P9" s="15">
        <f>(P148)*P89/(10^3)</f>
        <v>2413.7863434259184</v>
      </c>
      <c r="Q9" s="15">
        <f>(Q148)*Q89/(10^3)</f>
        <v>2489.8712342406875</v>
      </c>
      <c r="R9" s="15">
        <f>(R148)*R89/(10^3)</f>
        <v>2558.9030114112093</v>
      </c>
      <c r="S9" s="15">
        <f>(S148)*S89/(10^3)</f>
        <v>2621.167159835104</v>
      </c>
      <c r="T9" s="15">
        <f>(T148)*T89/(10^3)</f>
        <v>2676.9290125736411</v>
      </c>
      <c r="U9" s="15">
        <f>(U148)*U89/(10^3)</f>
        <v>2726.4337614195078</v>
      </c>
      <c r="V9" s="15">
        <f>(V148)*V89/(10^3)</f>
        <v>2769.9063727024113</v>
      </c>
      <c r="W9" s="15">
        <f>(W148)*W89/(10^3)</f>
        <v>2807.5514015735052</v>
      </c>
      <c r="X9" s="15">
        <f>(X148)*X89/(10^3)</f>
        <v>2839.5526970839351</v>
      </c>
      <c r="Y9" s="15">
        <f>(Y148)*Y89/(10^3)</f>
        <v>2866.0729893490279</v>
      </c>
      <c r="Z9" s="15">
        <f>(Z148)*Z89/(10^3)</f>
        <v>2887.253348956468</v>
      </c>
      <c r="AA9" s="15">
        <f>(AA148)*AA89/(10^3)</f>
        <v>2903.2125075215572</v>
      </c>
      <c r="AB9" s="15">
        <f>(AB148)*AB89/(10^3)</f>
        <v>2914.046026901372</v>
      </c>
      <c r="AC9" s="15">
        <f>(AC148)*AC89/(10^3)</f>
        <v>2919.825303036579</v>
      </c>
      <c r="AD9" s="15">
        <f>(AD148)*AD89/(10^3)</f>
        <v>2920.5963886775608</v>
      </c>
      <c r="AE9" s="15">
        <f>(AE148)*AE89/(10^3)</f>
        <v>2916.3786173509966</v>
      </c>
      <c r="AF9" s="15">
        <f>(AF148)*AF89/(10^3)</f>
        <v>2907.1630088125635</v>
      </c>
      <c r="AG9" s="15">
        <f>(AG148)*AG89/(10^3)</f>
        <v>2892.9104338871398</v>
      </c>
      <c r="AH9" s="15">
        <f>(AH148)*AH89/(10^3)</f>
        <v>2873.5495139930563</v>
      </c>
      <c r="AI9" s="15">
        <f>(AI148)*AI89/(10^3)</f>
        <v>2873.3826057078782</v>
      </c>
    </row>
    <row r="10" spans="1:35" ht="16" thickTop="1" thickBot="1">
      <c r="C10" s="13" t="s">
        <v>11</v>
      </c>
      <c r="D10" s="14" t="s">
        <v>10</v>
      </c>
      <c r="E10" s="15">
        <f>(E154+E153)*E91/(10^3)</f>
        <v>66246.608438999989</v>
      </c>
      <c r="F10" s="15">
        <f>(F154+F153)*F91/(10^3)</f>
        <v>65477.318997357543</v>
      </c>
      <c r="G10" s="15">
        <f>(G154+G153)*G91/(10^3)</f>
        <v>65221.621515600695</v>
      </c>
      <c r="H10" s="15">
        <f>(H154+H153)*H91/(10^3)</f>
        <v>64872.409030496827</v>
      </c>
      <c r="I10" s="15">
        <f>(I154+I153)*I91/(10^3)</f>
        <v>62841.984209310176</v>
      </c>
      <c r="J10" s="15">
        <f>(J154+J153)*J91/(10^3)</f>
        <v>60835.776734529034</v>
      </c>
      <c r="K10" s="15">
        <f>(K154+K153)*K91/(10^3)</f>
        <v>58865.168065108599</v>
      </c>
      <c r="L10" s="15">
        <f>(L154+L153)*L91/(10^3)</f>
        <v>56922.527254180808</v>
      </c>
      <c r="M10" s="15">
        <f>(M154+M153)*M91/(10^3)</f>
        <v>55006.646576379062</v>
      </c>
      <c r="N10" s="15">
        <f>(N154+N153)*N91/(10^3)</f>
        <v>53116.322967923188</v>
      </c>
      <c r="O10" s="15">
        <f>(O154+O153)*O91/(10^3)</f>
        <v>51250.347804404126</v>
      </c>
      <c r="P10" s="15">
        <f>(P154+P153)*P91/(10^3)</f>
        <v>49407.491733847142</v>
      </c>
      <c r="Q10" s="15">
        <f>(Q154+Q153)*Q91/(10^3)</f>
        <v>47586.482495966018</v>
      </c>
      <c r="R10" s="15">
        <f>(R154+R153)*R91/(10^3)</f>
        <v>45785.972859714813</v>
      </c>
      <c r="S10" s="15">
        <f>(S154+S153)*S91/(10^3)</f>
        <v>44004.494710505423</v>
      </c>
      <c r="T10" s="15">
        <f>(T154+T153)*T91/(10^3)</f>
        <v>42240.393800996026</v>
      </c>
      <c r="U10" s="15">
        <f>(U154+U153)*U91/(10^3)</f>
        <v>40491.737585952011</v>
      </c>
      <c r="V10" s="15">
        <f>(V154+V153)*V91/(10^3)</f>
        <v>38756.185671146326</v>
      </c>
      <c r="W10" s="15">
        <f>(W154+W153)*W91/(10^3)</f>
        <v>37030.808410818958</v>
      </c>
      <c r="X10" s="15">
        <f>(X154+X153)*X91/(10^3)</f>
        <v>35311.833658903692</v>
      </c>
      <c r="Y10" s="15">
        <f>(Y154+Y153)*Y91/(10^3)</f>
        <v>33594.29401732597</v>
      </c>
      <c r="Z10" s="15">
        <f>(Z154+Z153)*Z91/(10^3)</f>
        <v>31871.536293242534</v>
      </c>
      <c r="AA10" s="15">
        <f>(AA154+AA153)*AA91/(10^3)</f>
        <v>30134.540104569729</v>
      </c>
      <c r="AB10" s="15">
        <f>(AB154+AB153)*AB91/(10^3)</f>
        <v>28370.972017378652</v>
      </c>
      <c r="AC10" s="15">
        <f>(AC154+AC153)*AC91/(10^3)</f>
        <v>26563.87295502445</v>
      </c>
      <c r="AD10" s="15">
        <f>(AD154+AD153)*AD91/(10^3)</f>
        <v>24689.836648862194</v>
      </c>
      <c r="AE10" s="15">
        <f>(AE154+AE153)*AE91/(10^3)</f>
        <v>22716.48104875195</v>
      </c>
      <c r="AF10" s="15">
        <f>(AF154+AF153)*AF91/(10^3)</f>
        <v>20598.936463782124</v>
      </c>
      <c r="AG10" s="15">
        <f>(AG154+AG153)*AG91/(10^3)</f>
        <v>18274.964718654934</v>
      </c>
      <c r="AH10" s="15">
        <f>(AH154+AH153)*AH91/(10^3)</f>
        <v>15658.170034469063</v>
      </c>
      <c r="AI10" s="15">
        <f>(AI154+AI153)*AI91/(10^3)</f>
        <v>8687.3384322313632</v>
      </c>
    </row>
    <row r="11" spans="1:35" ht="16" thickTop="1" thickBot="1">
      <c r="C11" s="13" t="s">
        <v>11</v>
      </c>
      <c r="D11" s="14" t="s">
        <v>7</v>
      </c>
      <c r="E11" s="15">
        <f>(E155+E156)*E92/(10^3)</f>
        <v>53.952173583000004</v>
      </c>
      <c r="F11" s="15">
        <f>(F155+F156)*F92/(10^3)</f>
        <v>62.032571069140943</v>
      </c>
      <c r="G11" s="15">
        <f>(G155+G156)*G92/(10^3)</f>
        <v>74.283416927558008</v>
      </c>
      <c r="H11" s="15">
        <f>(H155+H156)*H92/(10^3)</f>
        <v>88.871508817406351</v>
      </c>
      <c r="I11" s="15">
        <f>(I155+I156)*I92/(10^3)</f>
        <v>103.61109096662008</v>
      </c>
      <c r="J11" s="15">
        <f>(J155+J156)*J92/(10^3)</f>
        <v>120.79364578980351</v>
      </c>
      <c r="K11" s="15">
        <f>(K155+K156)*K92/(10^3)</f>
        <v>141.85123731960593</v>
      </c>
      <c r="L11" s="15">
        <f>(L155+L156)*L92/(10^3)</f>
        <v>166.60168479406192</v>
      </c>
      <c r="M11" s="15">
        <f>(M155+M156)*M92/(10^3)</f>
        <v>195.70206913720997</v>
      </c>
      <c r="N11" s="15">
        <f>(N155+N156)*N92/(10^3)</f>
        <v>229.9304467395327</v>
      </c>
      <c r="O11" s="15">
        <f>(O155+O156)*O92/(10^3)</f>
        <v>270.20983757459771</v>
      </c>
      <c r="P11" s="15">
        <f>(P155+P156)*P92/(10^3)</f>
        <v>317.6376704070297</v>
      </c>
      <c r="Q11" s="15">
        <f>(Q155+Q156)*Q92/(10^3)</f>
        <v>373.52219216219271</v>
      </c>
      <c r="R11" s="15">
        <f>(R155+R156)*R92/(10^3)</f>
        <v>439.42785252666039</v>
      </c>
      <c r="S11" s="15">
        <f>(S155+S156)*S92/(10^3)</f>
        <v>517.23237129920665</v>
      </c>
      <c r="T11" s="15">
        <f>(T155+T156)*T92/(10^3)</f>
        <v>609.19916377678589</v>
      </c>
      <c r="U11" s="15">
        <f>(U155+U156)*U92/(10^3)</f>
        <v>718.07015077489723</v>
      </c>
      <c r="V11" s="15">
        <f>(V155+V156)*V92/(10^3)</f>
        <v>847.1858746748926</v>
      </c>
      <c r="W11" s="15">
        <f>(W155+W156)*W92/(10^3)</f>
        <v>1000.6425092770396</v>
      </c>
      <c r="X11" s="15">
        <f>(X155+X156)*X92/(10^3)</f>
        <v>1183.4991148621689</v>
      </c>
      <c r="Y11" s="15">
        <f>(Y155+Y156)*Y92/(10^3)</f>
        <v>1402.0538159189368</v>
      </c>
      <c r="Z11" s="15">
        <f>(Z155+Z156)*Z92/(10^3)</f>
        <v>1664.2151323945984</v>
      </c>
      <c r="AA11" s="15">
        <f>(AA155+AA156)*AA92/(10^3)</f>
        <v>1980.0054269071313</v>
      </c>
      <c r="AB11" s="15">
        <f>(AB155+AB156)*AB92/(10^3)</f>
        <v>2362.2487003298088</v>
      </c>
      <c r="AC11" s="15">
        <f>(AC155+AC156)*AC92/(10^3)</f>
        <v>2827.5167229947897</v>
      </c>
      <c r="AD11" s="15">
        <f>(AD155+AD156)*AD92/(10^3)</f>
        <v>3397.4385145810875</v>
      </c>
      <c r="AE11" s="15">
        <f>(AE155+AE156)*AE92/(10^3)</f>
        <v>4100.5224713774232</v>
      </c>
      <c r="AF11" s="15">
        <f>(AF155+AF156)*AF92/(10^3)</f>
        <v>4974.7036967397917</v>
      </c>
      <c r="AG11" s="15">
        <f>(AG155+AG156)*AG92/(10^3)</f>
        <v>6070.919499093382</v>
      </c>
      <c r="AH11" s="15">
        <f>(AH155+AH156)*AH92/(10^3)</f>
        <v>7458.145297809715</v>
      </c>
      <c r="AI11" s="15">
        <f>(AI155+AI156)*AI92/(10^3)</f>
        <v>11015.560896170085</v>
      </c>
    </row>
    <row r="12" spans="1:35" ht="16" thickTop="1" thickBot="1">
      <c r="C12" s="13" t="s">
        <v>11</v>
      </c>
      <c r="D12" s="14" t="s">
        <v>8</v>
      </c>
      <c r="E12" s="15">
        <f>(E157)*E93/(10^3)</f>
        <v>958.2903</v>
      </c>
      <c r="F12" s="15">
        <f>(F157)*F93/(10^3)</f>
        <v>1010.3151898392192</v>
      </c>
      <c r="G12" s="15">
        <f>(G157)*G93/(10^3)</f>
        <v>1073.8226303600932</v>
      </c>
      <c r="H12" s="15">
        <f>(H157)*H93/(10^3)</f>
        <v>1140.1998435330015</v>
      </c>
      <c r="I12" s="15">
        <f>(I157)*I93/(10^3)</f>
        <v>1179.6981232076052</v>
      </c>
      <c r="J12" s="15">
        <f>(J157)*J93/(10^3)</f>
        <v>1220.4401494494748</v>
      </c>
      <c r="K12" s="15">
        <f>(K157)*K93/(10^3)</f>
        <v>1262.7180769746201</v>
      </c>
      <c r="L12" s="15">
        <f>(L157)*L93/(10^3)</f>
        <v>1306.4605770612529</v>
      </c>
      <c r="M12" s="15">
        <f>(M157)*M93/(10^3)</f>
        <v>1351.7183847598694</v>
      </c>
      <c r="N12" s="15">
        <f>(N157)*N93/(10^3)</f>
        <v>1398.5439926613001</v>
      </c>
      <c r="O12" s="15">
        <f>(O157)*O93/(10^3)</f>
        <v>1446.991711780614</v>
      </c>
      <c r="P12" s="15">
        <f>(P157)*P93/(10^3)</f>
        <v>1497.1177345501389</v>
      </c>
      <c r="Q12" s="15">
        <f>(Q157)*Q93/(10^3)</f>
        <v>1548.980199994653</v>
      </c>
      <c r="R12" s="15">
        <f>(R157)*R93/(10^3)</f>
        <v>1602.6392611643462</v>
      </c>
      <c r="S12" s="15">
        <f>(S157)*S93/(10^3)</f>
        <v>1658.1571549037669</v>
      </c>
      <c r="T12" s="15">
        <f>(T157)*T93/(10^3)</f>
        <v>1715.5982740376674</v>
      </c>
      <c r="U12" s="15">
        <f>(U157)*U93/(10^3)</f>
        <v>1775.0292420574813</v>
      </c>
      <c r="V12" s="15">
        <f>(V157)*V93/(10^3)</f>
        <v>1836.5189903950554</v>
      </c>
      <c r="W12" s="15">
        <f>(W157)*W93/(10^3)</f>
        <v>1900.1388383732619</v>
      </c>
      <c r="X12" s="15">
        <f>(X157)*X93/(10^3)</f>
        <v>1965.9625759262226</v>
      </c>
      <c r="Y12" s="15">
        <f>(Y157)*Y93/(10^3)</f>
        <v>2034.0665491850914</v>
      </c>
      <c r="Z12" s="15">
        <f>(Z157)*Z93/(10^3)</f>
        <v>2104.5297490286571</v>
      </c>
      <c r="AA12" s="15">
        <f>(AA157)*AA93/(10^3)</f>
        <v>2177.4339027014789</v>
      </c>
      <c r="AB12" s="15">
        <f>(AB157)*AB93/(10^3)</f>
        <v>2252.8635686058115</v>
      </c>
      <c r="AC12" s="15">
        <f>(AC157)*AC93/(10^3)</f>
        <v>2330.9062343772721</v>
      </c>
      <c r="AD12" s="15">
        <f>(AD157)*AD93/(10^3)</f>
        <v>2411.6524183579977</v>
      </c>
      <c r="AE12" s="15">
        <f>(AE157)*AE93/(10^3)</f>
        <v>2495.1957745849895</v>
      </c>
      <c r="AF12" s="15">
        <f>(AF157)*AF93/(10^3)</f>
        <v>2581.6332014154154</v>
      </c>
      <c r="AG12" s="15">
        <f>(AG157)*AG93/(10^3)</f>
        <v>2671.0649539148594</v>
      </c>
      <c r="AH12" s="15">
        <f>(AH157)*AH93/(10^3)</f>
        <v>2763.5947601388752</v>
      </c>
      <c r="AI12" s="15">
        <f>(AI157)*AI93/(10^3)</f>
        <v>3029.4649014053084</v>
      </c>
    </row>
    <row r="13" spans="1:35" ht="15" thickTop="1"/>
    <row r="14" spans="1:35" ht="14">
      <c r="B14" s="6" t="s">
        <v>12</v>
      </c>
      <c r="C14" s="7"/>
      <c r="E14" s="1">
        <v>2020</v>
      </c>
      <c r="F14" s="1">
        <v>2021</v>
      </c>
      <c r="G14" s="1">
        <v>2022</v>
      </c>
      <c r="H14" s="1">
        <v>2023</v>
      </c>
      <c r="I14" s="1">
        <v>2024</v>
      </c>
      <c r="J14" s="1">
        <v>2025</v>
      </c>
      <c r="K14" s="1">
        <v>2026</v>
      </c>
      <c r="L14" s="1">
        <v>2027</v>
      </c>
      <c r="M14" s="1">
        <v>2028</v>
      </c>
      <c r="N14" s="1">
        <v>2029</v>
      </c>
      <c r="O14" s="1">
        <v>2030</v>
      </c>
      <c r="P14" s="1">
        <v>2031</v>
      </c>
      <c r="Q14" s="1">
        <v>2032</v>
      </c>
      <c r="R14" s="1">
        <v>2033</v>
      </c>
      <c r="S14" s="1">
        <v>2034</v>
      </c>
      <c r="T14" s="1">
        <v>2035</v>
      </c>
      <c r="U14" s="1">
        <v>2036</v>
      </c>
      <c r="V14" s="1">
        <v>2037</v>
      </c>
      <c r="W14" s="1">
        <v>2038</v>
      </c>
      <c r="X14" s="1">
        <v>2039</v>
      </c>
      <c r="Y14" s="1">
        <v>2040</v>
      </c>
      <c r="Z14" s="1">
        <v>2041</v>
      </c>
      <c r="AA14" s="1">
        <v>2042</v>
      </c>
      <c r="AB14" s="1">
        <v>2043</v>
      </c>
      <c r="AC14" s="1">
        <v>2044</v>
      </c>
      <c r="AD14" s="1">
        <v>2045</v>
      </c>
      <c r="AE14" s="1">
        <v>2046</v>
      </c>
      <c r="AF14" s="1">
        <v>2047</v>
      </c>
      <c r="AG14" s="1">
        <v>2048</v>
      </c>
      <c r="AH14" s="1">
        <v>2049</v>
      </c>
      <c r="AI14" s="1">
        <v>2050</v>
      </c>
    </row>
    <row r="15" spans="1:35" ht="14">
      <c r="A15" s="11"/>
      <c r="B15" s="12" t="s">
        <v>13</v>
      </c>
    </row>
    <row r="16" spans="1:35" ht="15" thickBot="1">
      <c r="A16" s="11"/>
      <c r="B16" s="16" t="s">
        <v>14</v>
      </c>
    </row>
    <row r="17" spans="2:35" ht="16" thickTop="1" thickBot="1">
      <c r="B17" s="17" t="s">
        <v>10</v>
      </c>
      <c r="C17" s="13" t="s">
        <v>5</v>
      </c>
      <c r="D17" s="14" t="s">
        <v>15</v>
      </c>
      <c r="E17" s="18">
        <f>'[1]5.3 附表1-能源结构'!D44*E$4</f>
        <v>59621.947595099991</v>
      </c>
      <c r="F17" s="18">
        <f>'[1]5.3 附表1-能源结构'!E44*F$4</f>
        <v>59080.942985752183</v>
      </c>
      <c r="G17" s="18">
        <f>'[1]5.3 附表1-能源结构'!F44*G$4</f>
        <v>59070.189674568581</v>
      </c>
      <c r="H17" s="18">
        <f>'[1]5.3 附表1-能源结构'!G44*H$4</f>
        <v>58984.213566679835</v>
      </c>
      <c r="I17" s="18">
        <f>'[1]5.3 附表1-能源结构'!H44*I$4</f>
        <v>57373.491400661012</v>
      </c>
      <c r="J17" s="18">
        <f>'[1]5.3 附表1-能源结构'!I44*J$4</f>
        <v>55782.807155058967</v>
      </c>
      <c r="K17" s="18">
        <f>'[1]5.3 附表1-能源结构'!J44*K$4</f>
        <v>54551.540018114683</v>
      </c>
      <c r="L17" s="18">
        <f>'[1]5.3 附表1-能源结构'!K44*L$4</f>
        <v>53327.774008109038</v>
      </c>
      <c r="M17" s="18">
        <f>'[1]5.3 附表1-能源结构'!L44*M$4</f>
        <v>52110.999825269508</v>
      </c>
      <c r="N17" s="18">
        <f>'[1]5.3 附表1-能源结构'!M44*N$4</f>
        <v>50900.700115350279</v>
      </c>
      <c r="O17" s="18">
        <f>'[1]5.3 附表1-能源结构'!N44*O$4</f>
        <v>49696.359161843822</v>
      </c>
      <c r="P17" s="18">
        <f>'[1]5.3 附表1-能源结构'!O44*P$4</f>
        <v>48497.441132269487</v>
      </c>
      <c r="Q17" s="18">
        <f>'[1]5.3 附表1-能源结构'!P44*Q$4</f>
        <v>47303.41514884185</v>
      </c>
      <c r="R17" s="18">
        <f>'[1]5.3 附表1-能源结构'!Q44*R$4</f>
        <v>46113.71883249293</v>
      </c>
      <c r="S17" s="18">
        <f>'[1]5.3 附表1-能源结构'!R44*S$4</f>
        <v>44927.802726164504</v>
      </c>
      <c r="T17" s="18">
        <f>'[1]5.3 附表1-能源结构'!S44*T$4</f>
        <v>43745.084455076845</v>
      </c>
      <c r="U17" s="18">
        <f>'[1]5.3 附表1-能源结构'!T44*U$4</f>
        <v>42818.984663421405</v>
      </c>
      <c r="V17" s="18">
        <f>'[1]5.3 附表1-能源结构'!U44*V$4</f>
        <v>41882.30669308162</v>
      </c>
      <c r="W17" s="18">
        <f>'[1]5.3 附表1-能源结构'!V44*W$4</f>
        <v>40934.339751541338</v>
      </c>
      <c r="X17" s="18">
        <f>'[1]5.3 附表1-能源结构'!W44*X$4</f>
        <v>39974.340148020194</v>
      </c>
      <c r="Y17" s="18">
        <f>'[1]5.3 附表1-能源结构'!X44*Y$4</f>
        <v>39001.529218345473</v>
      </c>
      <c r="Z17" s="18">
        <f>'[1]5.3 附表1-能源结构'!Y44*Z$4</f>
        <v>38015.091095961034</v>
      </c>
      <c r="AA17" s="18">
        <f>'[1]5.3 附表1-能源结构'!Z44*AA$4</f>
        <v>37014.1703163067</v>
      </c>
      <c r="AB17" s="18">
        <f>'[1]5.3 附表1-能源结构'!AA44*AB$4</f>
        <v>35997.869240686116</v>
      </c>
      <c r="AC17" s="18">
        <f>'[1]5.3 附表1-能源结构'!AB44*AC$4</f>
        <v>34965.245284522971</v>
      </c>
      <c r="AD17" s="18">
        <f>'[1]5.3 附表1-能源结构'!AC44*AD$4</f>
        <v>33626.594746364681</v>
      </c>
      <c r="AE17" s="18">
        <f>'[1]5.3 附表1-能源结构'!AD44*AE$4</f>
        <v>32290.157741594208</v>
      </c>
      <c r="AF17" s="18">
        <f>'[1]5.3 附表1-能源结构'!AE44*AF$4</f>
        <v>30955.07869039441</v>
      </c>
      <c r="AG17" s="18">
        <f>'[1]5.3 附表1-能源结构'!AF44*AG$4</f>
        <v>29620.476924909897</v>
      </c>
      <c r="AH17" s="18">
        <f>'[1]5.3 附表1-能源结构'!AG44*AH$4</f>
        <v>28285.444538463402</v>
      </c>
      <c r="AI17" s="18">
        <f>'[1]5.3 附表1-能源结构'!AH44*AI$4</f>
        <v>25421.600232786859</v>
      </c>
    </row>
    <row r="18" spans="2:35" ht="16" thickTop="1" thickBot="1">
      <c r="B18" s="19"/>
      <c r="C18" s="13" t="s">
        <v>5</v>
      </c>
      <c r="D18" s="14" t="s">
        <v>16</v>
      </c>
      <c r="E18" s="18">
        <f>'[1]5.3 附表1-能源结构'!D45*E$4</f>
        <v>662.46608438999988</v>
      </c>
      <c r="F18" s="18">
        <f>'[1]5.3 附表1-能源结构'!E45*F$4</f>
        <v>657.44108368944728</v>
      </c>
      <c r="G18" s="18">
        <f>'[1]5.3 附表1-能源结构'!F45*G$4</f>
        <v>658.30888629242281</v>
      </c>
      <c r="H18" s="18">
        <f>'[1]5.3 附表1-能源结构'!G45*H$4</f>
        <v>658.33823122020874</v>
      </c>
      <c r="I18" s="18">
        <f>'[1]5.3 附表1-能源结构'!H45*I$4</f>
        <v>641.32252372802748</v>
      </c>
      <c r="J18" s="18">
        <f>'[1]5.3 附表1-能源结构'!I45*J$4</f>
        <v>624.47852764032234</v>
      </c>
      <c r="K18" s="18">
        <f>'[1]5.3 附表1-能源结构'!J45*K$4</f>
        <v>611.61213092984849</v>
      </c>
      <c r="L18" s="18">
        <f>'[1]5.3 附表1-能源结构'!K45*L$4</f>
        <v>598.78989400291505</v>
      </c>
      <c r="M18" s="18">
        <f>'[1]5.3 附表1-能源结构'!L45*M$4</f>
        <v>586.00637784984303</v>
      </c>
      <c r="N18" s="18">
        <f>'[1]5.3 附表1-能源结构'!M45*N$4</f>
        <v>573.2560192908303</v>
      </c>
      <c r="O18" s="18">
        <f>'[1]5.3 附表1-能源结构'!N45*O$4</f>
        <v>560.53323948786738</v>
      </c>
      <c r="P18" s="18">
        <f>'[1]5.3 附表1-能源结构'!O45*P$4</f>
        <v>547.83219822210322</v>
      </c>
      <c r="Q18" s="18">
        <f>'[1]5.3 附表1-能源结构'!P45*Q$4</f>
        <v>535.14707568424672</v>
      </c>
      <c r="R18" s="18">
        <f>'[1]5.3 附表1-能源结构'!Q45*R$4</f>
        <v>522.47165971215441</v>
      </c>
      <c r="S18" s="18">
        <f>'[1]5.3 附表1-能源结构'!R45*S$4</f>
        <v>509.79984705128976</v>
      </c>
      <c r="T18" s="18">
        <f>'[1]5.3 附表1-能源结构'!S45*T$4</f>
        <v>497.12512338484299</v>
      </c>
      <c r="U18" s="18">
        <f>'[1]5.3 附表1-能源结构'!T45*U$4</f>
        <v>487.33179637118769</v>
      </c>
      <c r="V18" s="18">
        <f>'[1]5.3 附表1-能源结构'!U45*V$4</f>
        <v>477.38735002746677</v>
      </c>
      <c r="W18" s="18">
        <f>'[1]5.3 附表1-能源结构'!V45*W$4</f>
        <v>467.28305728255253</v>
      </c>
      <c r="X18" s="18">
        <f>'[1]5.3 附表1-能源结构'!W45*X$4</f>
        <v>457.00976442316153</v>
      </c>
      <c r="Y18" s="18">
        <f>'[1]5.3 附表1-能源结构'!X45*Y$4</f>
        <v>446.55786432160693</v>
      </c>
      <c r="Z18" s="18">
        <f>'[1]5.3 附表1-能源结构'!Y45*Z$4</f>
        <v>435.91726767176107</v>
      </c>
      <c r="AA18" s="18">
        <f>'[1]5.3 附表1-能源结构'!Z45*AA$4</f>
        <v>425.07737206689023</v>
      </c>
      <c r="AB18" s="18">
        <f>'[1]5.3 附表1-能源结构'!AA45*AB$4</f>
        <v>414.02702873831237</v>
      </c>
      <c r="AC18" s="18">
        <f>'[1]5.3 附表1-能源结构'!AB45*AC$4</f>
        <v>402.75450675776005</v>
      </c>
      <c r="AD18" s="18">
        <f>'[1]5.3 附表1-能源结构'!AC45*AD$4</f>
        <v>391.24745448881504</v>
      </c>
      <c r="AE18" s="18">
        <f>'[1]5.3 附表1-能源结构'!AD45*AE$4</f>
        <v>379.4928580536606</v>
      </c>
      <c r="AF18" s="18">
        <f>'[1]5.3 附表1-能源结构'!AE45*AF$4</f>
        <v>367.47699656054323</v>
      </c>
      <c r="AG18" s="18">
        <f>'[1]5.3 附表1-能源结构'!AF45*AG$4</f>
        <v>355.18539381457356</v>
      </c>
      <c r="AH18" s="18">
        <f>'[1]5.3 附表1-能源结构'!AG45*AH$4</f>
        <v>342.60276620966351</v>
      </c>
      <c r="AI18" s="18">
        <f>'[1]5.3 附表1-能源结构'!AH45*AI$4</f>
        <v>317.77000290983574</v>
      </c>
    </row>
    <row r="19" spans="2:35" ht="16" thickTop="1" thickBot="1">
      <c r="B19" s="19"/>
      <c r="C19" s="13" t="s">
        <v>5</v>
      </c>
      <c r="D19" s="14" t="s">
        <v>17</v>
      </c>
      <c r="E19" s="18">
        <f>'[1]5.3 附表1-能源结构'!D46*E$4</f>
        <v>0</v>
      </c>
      <c r="F19" s="18">
        <f>'[1]5.3 附表1-能源结构'!E46*F$4</f>
        <v>0</v>
      </c>
      <c r="G19" s="18">
        <f>'[1]5.3 附表1-能源结构'!F46*G$4</f>
        <v>0</v>
      </c>
      <c r="H19" s="18">
        <f>'[1]5.3 附表1-能源结构'!G46*H$4</f>
        <v>0</v>
      </c>
      <c r="I19" s="18">
        <f>'[1]5.3 附表1-能源结构'!H46*I$4</f>
        <v>0</v>
      </c>
      <c r="J19" s="18">
        <f>'[1]5.3 附表1-能源结构'!I46*J$4</f>
        <v>0</v>
      </c>
      <c r="K19" s="18">
        <f>'[1]5.3 附表1-能源结构'!J46*K$4</f>
        <v>0</v>
      </c>
      <c r="L19" s="18">
        <f>'[1]5.3 附表1-能源结构'!K46*L$4</f>
        <v>0</v>
      </c>
      <c r="M19" s="18">
        <f>'[1]5.3 附表1-能源结构'!L46*M$4</f>
        <v>0</v>
      </c>
      <c r="N19" s="18">
        <f>'[1]5.3 附表1-能源结构'!M46*N$4</f>
        <v>0</v>
      </c>
      <c r="O19" s="18">
        <f>'[1]5.3 附表1-能源结构'!N46*O$4</f>
        <v>0</v>
      </c>
      <c r="P19" s="18">
        <f>'[1]5.3 附表1-能源结构'!O46*P$4</f>
        <v>0</v>
      </c>
      <c r="Q19" s="18">
        <f>'[1]5.3 附表1-能源结构'!P46*Q$4</f>
        <v>0</v>
      </c>
      <c r="R19" s="18">
        <f>'[1]5.3 附表1-能源结构'!Q46*R$4</f>
        <v>0</v>
      </c>
      <c r="S19" s="18">
        <f>'[1]5.3 附表1-能源结构'!R46*S$4</f>
        <v>0</v>
      </c>
      <c r="T19" s="18">
        <f>'[1]5.3 附表1-能源结构'!S46*T$4</f>
        <v>0</v>
      </c>
      <c r="U19" s="18">
        <f>'[1]5.3 附表1-能源结构'!T46*U$4</f>
        <v>0</v>
      </c>
      <c r="V19" s="18">
        <f>'[1]5.3 附表1-能源结构'!U46*V$4</f>
        <v>0</v>
      </c>
      <c r="W19" s="18">
        <f>'[1]5.3 附表1-能源结构'!V46*W$4</f>
        <v>0</v>
      </c>
      <c r="X19" s="18">
        <f>'[1]5.3 附表1-能源结构'!W46*X$4</f>
        <v>0</v>
      </c>
      <c r="Y19" s="18">
        <f>'[1]5.3 附表1-能源结构'!X46*Y$4</f>
        <v>0</v>
      </c>
      <c r="Z19" s="18">
        <f>'[1]5.3 附表1-能源结构'!Y46*Z$4</f>
        <v>0</v>
      </c>
      <c r="AA19" s="18">
        <f>'[1]5.3 附表1-能源结构'!Z46*AA$4</f>
        <v>0</v>
      </c>
      <c r="AB19" s="18">
        <f>'[1]5.3 附表1-能源结构'!AA46*AB$4</f>
        <v>0</v>
      </c>
      <c r="AC19" s="18">
        <f>'[1]5.3 附表1-能源结构'!AB46*AC$4</f>
        <v>0</v>
      </c>
      <c r="AD19" s="18">
        <f>'[1]5.3 附表1-能源结构'!AC46*AD$4</f>
        <v>0</v>
      </c>
      <c r="AE19" s="18">
        <f>'[1]5.3 附表1-能源结构'!AD46*AE$4</f>
        <v>0</v>
      </c>
      <c r="AF19" s="18">
        <f>'[1]5.3 附表1-能源结构'!AE46*AF$4</f>
        <v>0</v>
      </c>
      <c r="AG19" s="18">
        <f>'[1]5.3 附表1-能源结构'!AF46*AG$4</f>
        <v>0</v>
      </c>
      <c r="AH19" s="18">
        <f>'[1]5.3 附表1-能源结构'!AG46*AH$4</f>
        <v>0</v>
      </c>
      <c r="AI19" s="18">
        <f>'[1]5.3 附表1-能源结构'!AH46*AI$4</f>
        <v>0</v>
      </c>
    </row>
    <row r="20" spans="2:35" ht="16" thickTop="1" thickBot="1">
      <c r="B20" s="19"/>
      <c r="C20" s="13" t="s">
        <v>5</v>
      </c>
      <c r="D20" s="14" t="s">
        <v>18</v>
      </c>
      <c r="E20" s="18">
        <f>'[1]5.3 附表1-能源结构'!D47*E$4</f>
        <v>5299.728675119999</v>
      </c>
      <c r="F20" s="18">
        <f>'[1]5.3 附表1-能源结构'!E47*F$4</f>
        <v>5340.4834131727248</v>
      </c>
      <c r="G20" s="18">
        <f>'[1]5.3 附表1-能源结构'!F47*G$4</f>
        <v>5434.8153747536471</v>
      </c>
      <c r="H20" s="18">
        <f>'[1]5.3 附表1-能源结构'!G47*H$4</f>
        <v>5521.9397595197115</v>
      </c>
      <c r="I20" s="18">
        <f>'[1]5.3 附表1-能源结构'!H47*I$4</f>
        <v>5463.4106637412369</v>
      </c>
      <c r="J20" s="18">
        <f>'[1]5.3 附表1-能源结构'!I47*J$4</f>
        <v>5401.4110776472653</v>
      </c>
      <c r="K20" s="18">
        <f>'[1]5.3 附表1-能源结构'!J47*K$4</f>
        <v>5369.3944016132727</v>
      </c>
      <c r="L20" s="18">
        <f>'[1]5.3 附表1-能源结构'!K47*L$4</f>
        <v>5333.8266348110083</v>
      </c>
      <c r="M20" s="18">
        <f>'[1]5.3 附表1-能源结构'!L47*M$4</f>
        <v>5294.6258024949238</v>
      </c>
      <c r="N20" s="18">
        <f>'[1]5.3 附表1-能源结构'!M47*N$4</f>
        <v>5251.6972543350084</v>
      </c>
      <c r="O20" s="18">
        <f>'[1]5.3 附表1-能源结构'!N47*O$4</f>
        <v>5204.933448609112</v>
      </c>
      <c r="P20" s="18">
        <f>'[1]5.3 附表1-能源结构'!O47*P$4</f>
        <v>5154.2103568903958</v>
      </c>
      <c r="Q20" s="18">
        <f>'[1]5.3 附表1-能源结构'!P47*Q$4</f>
        <v>5099.3885815698113</v>
      </c>
      <c r="R20" s="18">
        <f>'[1]5.3 附表1-能源结构'!Q47*R$4</f>
        <v>5040.3078409278432</v>
      </c>
      <c r="S20" s="18">
        <f>'[1]5.3 附表1-能源结构'!R47*S$4</f>
        <v>4976.7899498789175</v>
      </c>
      <c r="T20" s="18">
        <f>'[1]5.3 附表1-能源结构'!S47*T$4</f>
        <v>4908.631935524646</v>
      </c>
      <c r="U20" s="18">
        <f>'[1]5.3 附表1-能源结构'!T47*U$4</f>
        <v>4864.4636769181752</v>
      </c>
      <c r="V20" s="18">
        <f>'[1]5.3 附表1-能源结构'!U47*V$4</f>
        <v>4814.411518701947</v>
      </c>
      <c r="W20" s="18">
        <f>'[1]5.3 附表1-能源结构'!V47*W$4</f>
        <v>4758.0876104842891</v>
      </c>
      <c r="X20" s="18">
        <f>'[1]5.3 附表1-能源结构'!W47*X$4</f>
        <v>4695.0636384195832</v>
      </c>
      <c r="Y20" s="18">
        <f>'[1]5.3 附表1-能源结构'!X47*Y$4</f>
        <v>4624.8674163267415</v>
      </c>
      <c r="Z20" s="18">
        <f>'[1]5.3 附表1-能源结构'!Y47*Z$4</f>
        <v>4546.9795773291853</v>
      </c>
      <c r="AA20" s="18">
        <f>'[1]5.3 附表1-能源结构'!Z47*AA$4</f>
        <v>4460.8305430491037</v>
      </c>
      <c r="AB20" s="18">
        <f>'[1]5.3 附表1-能源结构'!AA47*AB$4</f>
        <v>4365.7980166657453</v>
      </c>
      <c r="AC20" s="18">
        <f>'[1]5.3 附表1-能源结构'!AB47*AC$4</f>
        <v>4261.2053369272844</v>
      </c>
      <c r="AD20" s="18">
        <f>'[1]5.3 附表1-能源结构'!AC47*AD$4</f>
        <v>4435.0343357969514</v>
      </c>
      <c r="AE20" s="18">
        <f>'[1]5.3 附表1-能源结构'!AD47*AE$4</f>
        <v>4577.2187870809885</v>
      </c>
      <c r="AF20" s="18">
        <f>'[1]5.3 附表1-能源结构'!AE47*AF$4</f>
        <v>4686.6847851178136</v>
      </c>
      <c r="AG20" s="18">
        <f>'[1]5.3 附表1-能源结构'!AF47*AG$4</f>
        <v>4762.284532034224</v>
      </c>
      <c r="AH20" s="18">
        <f>'[1]5.3 附表1-能源结构'!AG47*AH$4</f>
        <v>4802.8077823175963</v>
      </c>
      <c r="AI20" s="18">
        <f>'[1]5.3 附表1-能源结构'!AH47*AI$4</f>
        <v>5084.3200465573718</v>
      </c>
    </row>
    <row r="21" spans="2:35" ht="16" thickTop="1" thickBot="1">
      <c r="B21" s="19"/>
      <c r="C21" s="13" t="s">
        <v>5</v>
      </c>
      <c r="D21" s="14" t="s">
        <v>19</v>
      </c>
      <c r="E21" s="18">
        <f>'[1]5.3 附表1-能源结构'!D48*E$4</f>
        <v>662.46608438999988</v>
      </c>
      <c r="F21" s="18">
        <f>'[1]5.3 附表1-能源结构'!E48*F$4</f>
        <v>657.44108368944728</v>
      </c>
      <c r="G21" s="18">
        <f>'[1]5.3 附表1-能源结构'!F48*G$4</f>
        <v>658.30888629242281</v>
      </c>
      <c r="H21" s="18">
        <f>'[1]5.3 附表1-能源结构'!G48*H$4</f>
        <v>658.33823122020874</v>
      </c>
      <c r="I21" s="18">
        <f>'[1]5.3 附表1-能源结构'!H48*I$4</f>
        <v>641.32252372802748</v>
      </c>
      <c r="J21" s="18">
        <f>'[1]5.3 附表1-能源结构'!I48*J$4</f>
        <v>624.47852764032234</v>
      </c>
      <c r="K21" s="18">
        <f>'[1]5.3 附表1-能源结构'!J48*K$4</f>
        <v>611.61213092984849</v>
      </c>
      <c r="L21" s="18">
        <f>'[1]5.3 附表1-能源结构'!K48*L$4</f>
        <v>598.78989400291505</v>
      </c>
      <c r="M21" s="18">
        <f>'[1]5.3 附表1-能源结构'!L48*M$4</f>
        <v>586.00637784984303</v>
      </c>
      <c r="N21" s="18">
        <f>'[1]5.3 附表1-能源结构'!M48*N$4</f>
        <v>573.2560192908303</v>
      </c>
      <c r="O21" s="18">
        <f>'[1]5.3 附表1-能源结构'!N48*O$4</f>
        <v>560.53323948786738</v>
      </c>
      <c r="P21" s="18">
        <f>'[1]5.3 附表1-能源结构'!O48*P$4</f>
        <v>547.83219822210322</v>
      </c>
      <c r="Q21" s="18">
        <f>'[1]5.3 附表1-能源结构'!P48*Q$4</f>
        <v>535.14707568424672</v>
      </c>
      <c r="R21" s="18">
        <f>'[1]5.3 附表1-能源结构'!Q48*R$4</f>
        <v>522.47165971215441</v>
      </c>
      <c r="S21" s="18">
        <f>'[1]5.3 附表1-能源结构'!R48*S$4</f>
        <v>509.79984705128976</v>
      </c>
      <c r="T21" s="18">
        <f>'[1]5.3 附表1-能源结构'!S48*T$4</f>
        <v>497.12512338484299</v>
      </c>
      <c r="U21" s="18">
        <f>'[1]5.3 附表1-能源结构'!T48*U$4</f>
        <v>487.33179637118769</v>
      </c>
      <c r="V21" s="18">
        <f>'[1]5.3 附表1-能源结构'!U48*V$4</f>
        <v>477.38735002746677</v>
      </c>
      <c r="W21" s="18">
        <f>'[1]5.3 附表1-能源结构'!V48*W$4</f>
        <v>467.28305728255253</v>
      </c>
      <c r="X21" s="18">
        <f>'[1]5.3 附表1-能源结构'!W48*X$4</f>
        <v>457.00976442316153</v>
      </c>
      <c r="Y21" s="18">
        <f>'[1]5.3 附表1-能源结构'!X48*Y$4</f>
        <v>446.55786432160693</v>
      </c>
      <c r="Z21" s="18">
        <f>'[1]5.3 附表1-能源结构'!Y48*Z$4</f>
        <v>435.91726767176107</v>
      </c>
      <c r="AA21" s="18">
        <f>'[1]5.3 附表1-能源结构'!Z48*AA$4</f>
        <v>425.07737206689023</v>
      </c>
      <c r="AB21" s="18">
        <f>'[1]5.3 附表1-能源结构'!AA48*AB$4</f>
        <v>414.02702873831237</v>
      </c>
      <c r="AC21" s="18">
        <f>'[1]5.3 附表1-能源结构'!AB48*AC$4</f>
        <v>402.75450675776005</v>
      </c>
      <c r="AD21" s="18">
        <f>'[1]5.3 附表1-能源结构'!AC48*AD$4</f>
        <v>391.24745448881504</v>
      </c>
      <c r="AE21" s="18">
        <f>'[1]5.3 附表1-能源结构'!AD48*AE$4</f>
        <v>379.4928580536606</v>
      </c>
      <c r="AF21" s="18">
        <f>'[1]5.3 附表1-能源结构'!AE48*AF$4</f>
        <v>367.47699656054323</v>
      </c>
      <c r="AG21" s="18">
        <f>'[1]5.3 附表1-能源结构'!AF48*AG$4</f>
        <v>355.18539381457356</v>
      </c>
      <c r="AH21" s="18">
        <f>'[1]5.3 附表1-能源结构'!AG48*AH$4</f>
        <v>342.60276620966351</v>
      </c>
      <c r="AI21" s="18">
        <f>'[1]5.3 附表1-能源结构'!AH48*AI$4</f>
        <v>317.77000290983574</v>
      </c>
    </row>
    <row r="22" spans="2:35" ht="16" thickTop="1" thickBot="1">
      <c r="B22" s="19"/>
      <c r="C22" s="13" t="s">
        <v>5</v>
      </c>
      <c r="D22" s="20" t="s">
        <v>20</v>
      </c>
      <c r="E22" s="18">
        <f>'[1]5.3 附表1-能源结构'!D49*E$4</f>
        <v>6.6246608438999992</v>
      </c>
      <c r="F22" s="18">
        <f>'[1]5.3 附表1-能源结构'!E49*F$4</f>
        <v>7.7998026409254662</v>
      </c>
      <c r="G22" s="18">
        <f>'[1]5.3 附表1-能源结构'!F49*G$4</f>
        <v>9.2658073352087644</v>
      </c>
      <c r="H22" s="18">
        <f>'[1]5.3 附表1-能源结构'!G49*H$4</f>
        <v>10.993333380904433</v>
      </c>
      <c r="I22" s="18">
        <f>'[1]5.3 附表1-能源结构'!H49*I$4</f>
        <v>12.705260944442687</v>
      </c>
      <c r="J22" s="18">
        <f>'[1]5.3 附表1-能源结构'!I49*J$4</f>
        <v>14.677476045360205</v>
      </c>
      <c r="K22" s="18">
        <f>'[1]5.3 附表1-能源结构'!J49*K$4</f>
        <v>17.054411397190876</v>
      </c>
      <c r="L22" s="18">
        <f>'[1]5.3 附表1-能源结构'!K49*L$4</f>
        <v>19.808969365623334</v>
      </c>
      <c r="M22" s="18">
        <f>'[1]5.3 附表1-能源结构'!L49*M$4</f>
        <v>22.999401520177788</v>
      </c>
      <c r="N22" s="18">
        <f>'[1]5.3 附表1-能源结构'!M49*N$4</f>
        <v>26.692520816075678</v>
      </c>
      <c r="O22" s="18">
        <f>'[1]5.3 附表1-能源结构'!N49*O$4</f>
        <v>30.964859358064832</v>
      </c>
      <c r="P22" s="18">
        <f>'[1]5.3 附表1-能源结构'!O49*P$4</f>
        <v>35.90393660623144</v>
      </c>
      <c r="Q22" s="18">
        <f>'[1]5.3 附表1-能源结构'!P49*Q$4</f>
        <v>41.609686644519428</v>
      </c>
      <c r="R22" s="18">
        <f>'[1]5.3 附表1-能源结构'!Q49*R$4</f>
        <v>48.195978370358148</v>
      </c>
      <c r="S22" s="18">
        <f>'[1]5.3 附表1-能源结构'!R49*S$4</f>
        <v>55.79233498297841</v>
      </c>
      <c r="T22" s="18">
        <f>'[1]5.3 附表1-能源结构'!S49*T$4</f>
        <v>64.545701113115868</v>
      </c>
      <c r="U22" s="18">
        <f>'[1]5.3 附表1-能源结构'!T49*U$4</f>
        <v>75.067704036808536</v>
      </c>
      <c r="V22" s="18">
        <f>'[1]5.3 附表1-能源结构'!U49*V$4</f>
        <v>87.242090908177076</v>
      </c>
      <c r="W22" s="18">
        <f>'[1]5.3 附表1-能源结构'!V49*W$4</f>
        <v>101.31225166452457</v>
      </c>
      <c r="X22" s="18">
        <f>'[1]5.3 附表1-能源结构'!W49*X$4</f>
        <v>117.55312703005644</v>
      </c>
      <c r="Y22" s="18">
        <f>'[1]5.3 附表1-能源结构'!X49*Y$4</f>
        <v>136.27406884526127</v>
      </c>
      <c r="Z22" s="18">
        <f>'[1]5.3 附表1-能源结构'!Y49*Z$4</f>
        <v>157.82155854236888</v>
      </c>
      <c r="AA22" s="18">
        <f>'[1]5.3 附表1-能源结构'!Z49*AA$4</f>
        <v>182.58160319943769</v>
      </c>
      <c r="AB22" s="18">
        <f>'[1]5.3 附表1-能源结构'!AA49*AB$4</f>
        <v>210.98155900275458</v>
      </c>
      <c r="AC22" s="18">
        <f>'[1]5.3 附表1-能源结构'!AB49*AC$4</f>
        <v>243.49104081022642</v>
      </c>
      <c r="AD22" s="18">
        <f>'[1]5.3 附表1-能源结构'!AC49*AD$4</f>
        <v>280.62145774224547</v>
      </c>
      <c r="AE22" s="18">
        <f>'[1]5.3 附表1-能源结构'!AD49*AE$4</f>
        <v>322.92356058354204</v>
      </c>
      <c r="AF22" s="18">
        <f>'[1]5.3 附表1-能源结构'!AE49*AF$4</f>
        <v>370.98218742100966</v>
      </c>
      <c r="AG22" s="18">
        <f>'[1]5.3 附表1-能源结构'!AF49*AG$4</f>
        <v>425.40713688408545</v>
      </c>
      <c r="AH22" s="18">
        <f>'[1]5.3 附表1-能源结构'!AG49*AH$4</f>
        <v>486.81876776602707</v>
      </c>
      <c r="AI22" s="18">
        <f>'[1]5.3 附表1-能源结构'!AH49*AI$4</f>
        <v>635.54000581967148</v>
      </c>
    </row>
    <row r="23" spans="2:35" ht="14.25" customHeight="1" thickTop="1" thickBot="1">
      <c r="B23" s="19"/>
    </row>
    <row r="24" spans="2:35" ht="16" thickTop="1" thickBot="1">
      <c r="B24" s="19"/>
      <c r="C24" s="13" t="s">
        <v>9</v>
      </c>
      <c r="D24" s="14" t="s">
        <v>15</v>
      </c>
      <c r="E24" s="21">
        <f t="shared" ref="E24:E29" si="0">E17</f>
        <v>59621.947595099991</v>
      </c>
      <c r="F24" s="21">
        <f>'[1]5.3 附表1-能源结构'!D98*$F$7</f>
        <v>58239.113452816855</v>
      </c>
      <c r="G24" s="21">
        <f>'[1]5.3 附表1-能源结构'!E98*$G$7</f>
        <v>57078.327452953592</v>
      </c>
      <c r="H24" s="21">
        <f>'[1]5.3 附表1-能源结构'!F98*$H$7</f>
        <v>55888.15295080981</v>
      </c>
      <c r="I24" s="21">
        <f>'[1]5.3 附表1-能源结构'!G98*$I$7</f>
        <v>53325.231926540029</v>
      </c>
      <c r="J24" s="21">
        <f>'[1]5.3 附表1-能源结构'!H98*$J$7</f>
        <v>50877.861646627047</v>
      </c>
      <c r="K24" s="21">
        <f>'[1]5.3 附表1-能源结构'!I98*$K$7</f>
        <v>48649.504600293221</v>
      </c>
      <c r="L24" s="21">
        <f>'[1]5.3 附表1-能源结构'!J98*$L$7</f>
        <v>46522.918938680836</v>
      </c>
      <c r="M24" s="21">
        <f>'[1]5.3 附表1-能源结构'!K98*$M$7</f>
        <v>44494.048465861284</v>
      </c>
      <c r="N24" s="21">
        <f>'[1]5.3 附表1-能源结构'!L98*$N$7</f>
        <v>42559.079128914105</v>
      </c>
      <c r="O24" s="21">
        <f>'[1]5.3 附表1-能源结构'!M98*$O$7</f>
        <v>40714.437103806704</v>
      </c>
      <c r="P24" s="21">
        <f>'[1]5.3 附表1-能源结构'!N98*$P$7</f>
        <v>38956.78820115453</v>
      </c>
      <c r="Q24" s="21">
        <f>'[1]5.3 附表1-能源结构'!O98*$Q$7</f>
        <v>37283.038706857245</v>
      </c>
      <c r="R24" s="21">
        <f>'[1]5.3 附表1-能源结构'!P98*$R$7</f>
        <v>35690.337791859078</v>
      </c>
      <c r="S24" s="21">
        <f>'[1]5.3 附表1-能源结构'!Q98*$S$7</f>
        <v>34176.081647099025</v>
      </c>
      <c r="T24" s="21">
        <f>'[1]5.3 附表1-能源结构'!R98*$T$7</f>
        <v>32737.919524464323</v>
      </c>
      <c r="U24" s="21">
        <f>'[1]5.3 附表1-能源结构'!S98*$U$7</f>
        <v>31373.761892658411</v>
      </c>
      <c r="V24" s="21">
        <f>'[1]5.3 附表1-能源结构'!T98*$V$7</f>
        <v>30081.790948814862</v>
      </c>
      <c r="W24" s="21">
        <f>'[1]5.3 附表1-能源结构'!U98*$W$7</f>
        <v>28860.473762976082</v>
      </c>
      <c r="X24" s="21">
        <f>'[1]5.3 附表1-能源结构'!V98*$X$7</f>
        <v>27708.57837382668</v>
      </c>
      <c r="Y24" s="21">
        <f>'[1]5.3 附表1-能源结构'!W98*$Y$7</f>
        <v>26625.193201031361</v>
      </c>
      <c r="Z24" s="21">
        <f>'[1]5.3 附表1-能源结构'!X98*$Z$7</f>
        <v>25609.750192978558</v>
      </c>
      <c r="AA24" s="21">
        <f>'[1]5.3 附表1-能源结构'!Y98*$AA$7</f>
        <v>24662.052189590599</v>
      </c>
      <c r="AB24" s="21">
        <f>'[1]5.3 附表1-能源结构'!Z98*$AB$7</f>
        <v>23782.305049171646</v>
      </c>
      <c r="AC24" s="21">
        <f>'[1]5.3 附表1-能源结构'!AA98*$AC$7</f>
        <v>22971.155167217898</v>
      </c>
      <c r="AD24" s="21">
        <f>'[1]5.3 附表1-能源结构'!AB98*$AD$7</f>
        <v>22229.7331050668</v>
      </c>
      <c r="AE24" s="21">
        <f>'[1]5.3 附表1-能源结构'!AC98*$AE$7</f>
        <v>21559.704148761844</v>
      </c>
      <c r="AF24" s="21">
        <f>'[1]5.3 附表1-能源结构'!AD98*$AF$7</f>
        <v>20963.326735321334</v>
      </c>
      <c r="AG24" s="21">
        <f>'[1]5.3 附表1-能源结构'!AE98*$AG$7</f>
        <v>20443.519816735967</v>
      </c>
      <c r="AH24" s="21">
        <f>'[1]5.3 附表1-能源结构'!AF98*$AH$7</f>
        <v>20003.940383776062</v>
      </c>
      <c r="AI24" s="21">
        <f>'[1]5.3 附表1-能源结构'!AG98*$AI$7</f>
        <v>19214.602791067231</v>
      </c>
    </row>
    <row r="25" spans="2:35" ht="16" thickTop="1" thickBot="1">
      <c r="B25" s="19"/>
      <c r="C25" s="13" t="s">
        <v>9</v>
      </c>
      <c r="D25" s="14" t="s">
        <v>16</v>
      </c>
      <c r="E25" s="21">
        <f t="shared" si="0"/>
        <v>662.46608438999988</v>
      </c>
      <c r="F25" s="21">
        <f>'[1]5.3 附表1-能源结构'!D99*$F$7</f>
        <v>647.10126058685387</v>
      </c>
      <c r="G25" s="21">
        <f>'[1]5.3 附表1-能源结构'!E99*$G$7</f>
        <v>659.58355452330125</v>
      </c>
      <c r="H25" s="21">
        <f>'[1]5.3 附表1-能源结构'!F99*$H$7</f>
        <v>671.67537517444964</v>
      </c>
      <c r="I25" s="21">
        <f>'[1]5.3 附表1-能源结构'!G99*$I$7</f>
        <v>666.52050134262959</v>
      </c>
      <c r="J25" s="21">
        <f>'[1]5.3 附表1-能源结构'!H99*$J$7</f>
        <v>661.37945344142781</v>
      </c>
      <c r="K25" s="21">
        <f>'[1]5.3 附表1-能源结构'!I99*$K$7</f>
        <v>657.72047336031028</v>
      </c>
      <c r="L25" s="21">
        <f>'[1]5.3 附表1-能源结构'!J99*$L$7</f>
        <v>654.14041700782889</v>
      </c>
      <c r="M25" s="21">
        <f>'[1]5.3 附表1-能源结构'!K99*$M$7</f>
        <v>650.64941133186232</v>
      </c>
      <c r="N25" s="21">
        <f>'[1]5.3 附表1-能源结构'!L99*$N$7</f>
        <v>647.25949432380025</v>
      </c>
      <c r="O25" s="21">
        <f>'[1]5.3 附表1-能源结构'!M99*$O$7</f>
        <v>643.9849703331422</v>
      </c>
      <c r="P25" s="21">
        <f>'[1]5.3 附表1-能源结构'!N99*$P$7</f>
        <v>640.84283147609619</v>
      </c>
      <c r="Q25" s="21">
        <f>'[1]5.3 附表1-能源结构'!O99*$Q$7</f>
        <v>637.85325743248768</v>
      </c>
      <c r="R25" s="21">
        <f>'[1]5.3 附表1-能源结构'!P99*$R$7</f>
        <v>635.04020821219342</v>
      </c>
      <c r="S25" s="21">
        <f>'[1]5.3 附表1-能源结构'!Q99*$S$7</f>
        <v>632.43212718460643</v>
      </c>
      <c r="T25" s="21">
        <f>'[1]5.3 附表1-能源结构'!R99*$T$7</f>
        <v>630.06277488143803</v>
      </c>
      <c r="U25" s="21">
        <f>'[1]5.3 附表1-能源结构'!S99*$U$7</f>
        <v>627.97221789835919</v>
      </c>
      <c r="V25" s="21">
        <f>'[1]5.3 附表1-能源结构'!T99*$V$7</f>
        <v>626.20800174581495</v>
      </c>
      <c r="W25" s="21">
        <f>'[1]5.3 附表1-能源结构'!U99*$W$7</f>
        <v>624.82654186588763</v>
      </c>
      <c r="X25" s="21">
        <f>'[1]5.3 附表1-能源结构'!V99*$X$7</f>
        <v>623.89477339684822</v>
      </c>
      <c r="Y25" s="21">
        <f>'[1]5.3 附表1-能源结构'!W99*$Y$7</f>
        <v>623.49210781573959</v>
      </c>
      <c r="Z25" s="21">
        <f>'[1]5.3 附表1-能源结构'!X99*$Z$7</f>
        <v>623.71275354218483</v>
      </c>
      <c r="AA25" s="21">
        <f>'[1]5.3 附表1-能源结构'!Y99*$AA$7</f>
        <v>624.6684682048143</v>
      </c>
      <c r="AB25" s="21">
        <f>'[1]5.3 附表1-能源结构'!Z99*$AB$7</f>
        <v>626.49182286501866</v>
      </c>
      <c r="AC25" s="21">
        <f>'[1]5.3 附表1-能源结构'!AA99*$AC$7</f>
        <v>629.34007342857035</v>
      </c>
      <c r="AD25" s="21">
        <f>'[1]5.3 附表1-能源结构'!AB99*$AD$7</f>
        <v>633.39975218973984</v>
      </c>
      <c r="AE25" s="21">
        <f>'[1]5.3 附表1-能源结构'!AC99*$AE$7</f>
        <v>638.89211346166826</v>
      </c>
      <c r="AF25" s="21">
        <f>'[1]5.3 附表1-能源结构'!AD99*$AF$7</f>
        <v>646.07959216385075</v>
      </c>
      <c r="AG25" s="21">
        <f>'[1]5.3 附表1-能源结构'!AE99*$AG$7</f>
        <v>655.27346378957702</v>
      </c>
      <c r="AH25" s="21">
        <f>'[1]5.3 附表1-能源结构'!AF99*$AH$7</f>
        <v>666.84292922521024</v>
      </c>
      <c r="AI25" s="21">
        <f>'[1]5.3 附表1-能源结构'!AG99*$AI$7</f>
        <v>666.1629879595946</v>
      </c>
    </row>
    <row r="26" spans="2:35" ht="16" thickTop="1" thickBot="1">
      <c r="B26" s="19"/>
      <c r="C26" s="13" t="s">
        <v>9</v>
      </c>
      <c r="D26" s="14" t="s">
        <v>17</v>
      </c>
      <c r="E26" s="21">
        <f t="shared" si="0"/>
        <v>0</v>
      </c>
      <c r="F26" s="21">
        <f>'[1]5.3 附表1-能源结构'!D100*$F$7</f>
        <v>0</v>
      </c>
      <c r="G26" s="21">
        <f>'[1]5.3 附表1-能源结构'!E100*$G$7</f>
        <v>70.027963342354795</v>
      </c>
      <c r="H26" s="21">
        <f>'[1]5.3 附表1-能源结构'!F100*$H$7</f>
        <v>68.828783741748765</v>
      </c>
      <c r="I26" s="21">
        <f>'[1]5.3 附表1-能源结构'!G100*$I$7</f>
        <v>65.922424700876007</v>
      </c>
      <c r="J26" s="21">
        <f>'[1]5.3 附表1-能源结构'!H100*$J$7</f>
        <v>63.136332565816176</v>
      </c>
      <c r="K26" s="21">
        <f>'[1]5.3 附表1-能源结构'!I100*$K$7</f>
        <v>60.600890332605466</v>
      </c>
      <c r="L26" s="21">
        <f>'[1]5.3 附表1-能源结构'!J100*$L$7</f>
        <v>58.172485406339</v>
      </c>
      <c r="M26" s="21">
        <f>'[1]5.3 附表1-能源结构'!K100*$M$7</f>
        <v>55.84736266757357</v>
      </c>
      <c r="N26" s="21">
        <f>'[1]5.3 附表1-能源结构'!L100*$N$7</f>
        <v>53.622005026012964</v>
      </c>
      <c r="O26" s="21">
        <f>'[1]5.3 附表1-能源结构'!M100*$O$7</f>
        <v>51.493136136052733</v>
      </c>
      <c r="P26" s="21">
        <f>'[1]5.3 附表1-能源结构'!N100*$P$7</f>
        <v>49.457724793776151</v>
      </c>
      <c r="Q26" s="21">
        <f>'[1]5.3 附表1-能源结构'!O100*$Q$7</f>
        <v>47.512991206418008</v>
      </c>
      <c r="R26" s="21">
        <f>'[1]5.3 附表1-能源结构'!P100*$R$7</f>
        <v>45.656415355081201</v>
      </c>
      <c r="S26" s="21">
        <f>'[1]5.3 附表1-能源结构'!Q100*$S$7</f>
        <v>43.885747705480618</v>
      </c>
      <c r="T26" s="21">
        <f>'[1]5.3 附表1-能源结构'!R100*$T$7</f>
        <v>42.199022560313949</v>
      </c>
      <c r="U26" s="21">
        <f>'[1]5.3 附表1-能源结构'!S100*$U$7</f>
        <v>40.594574391225024</v>
      </c>
      <c r="V26" s="21">
        <f>'[1]5.3 附表1-能源结构'!T100*$V$7</f>
        <v>39.071057539033802</v>
      </c>
      <c r="W26" s="21">
        <f>'[1]5.3 附表1-能源结构'!U100*$W$7</f>
        <v>37.627469728882147</v>
      </c>
      <c r="X26" s="21">
        <f>'[1]5.3 附表1-能源结构'!V100*$X$7</f>
        <v>36.263179913239071</v>
      </c>
      <c r="Y26" s="21">
        <f>'[1]5.3 附表1-能源结构'!W100*$Y$7</f>
        <v>34.977961031530405</v>
      </c>
      <c r="Z26" s="21">
        <f>'[1]5.3 附表1-能源结构'!X100*$Z$7</f>
        <v>33.772028361887131</v>
      </c>
      <c r="AA26" s="21">
        <f>'[1]5.3 附表1-能源结构'!Y100*$AA$7</f>
        <v>32.646084239725447</v>
      </c>
      <c r="AB26" s="21">
        <f>'[1]5.3 附表1-能源结构'!Z100*$AB$7</f>
        <v>31.601370031389735</v>
      </c>
      <c r="AC26" s="21">
        <f>'[1]5.3 附表1-能源结构'!AA100*$AC$7</f>
        <v>30.63972638097842</v>
      </c>
      <c r="AD26" s="21">
        <f>'[1]5.3 附表1-能源结构'!AB100*$AD$7</f>
        <v>29.763662897104627</v>
      </c>
      <c r="AE26" s="21">
        <f>'[1]5.3 附表1-能源结构'!AC100*$AE$7</f>
        <v>28.976438616432109</v>
      </c>
      <c r="AF26" s="21">
        <f>'[1]5.3 附表1-能源结构'!AD100*$AF$7</f>
        <v>28.282154775480315</v>
      </c>
      <c r="AG26" s="21">
        <f>'[1]5.3 附表1-能源结构'!AE100*$AG$7</f>
        <v>27.685861644967019</v>
      </c>
      <c r="AH26" s="21">
        <f>'[1]5.3 附表1-能源结构'!AF100*$AH$7</f>
        <v>27.193681435924816</v>
      </c>
      <c r="AI26" s="21">
        <f>'[1]5.3 附表1-能源结构'!AG100*$AI$7</f>
        <v>26.220076018301302</v>
      </c>
    </row>
    <row r="27" spans="2:35" ht="16" thickTop="1" thickBot="1">
      <c r="B27" s="19"/>
      <c r="C27" s="13" t="s">
        <v>9</v>
      </c>
      <c r="D27" s="14" t="s">
        <v>18</v>
      </c>
      <c r="E27" s="21">
        <f t="shared" si="0"/>
        <v>5299.728675119999</v>
      </c>
      <c r="F27" s="21">
        <f>'[1]5.3 附表1-能源结构'!D101*$F$7</f>
        <v>5176.8100846948309</v>
      </c>
      <c r="G27" s="21">
        <f>'[1]5.3 附表1-能源结构'!E101*$G$7</f>
        <v>5223.5942157857407</v>
      </c>
      <c r="H27" s="21">
        <f>'[1]5.3 附表1-能源结构'!F101*$H$7</f>
        <v>7364.6798603671177</v>
      </c>
      <c r="I27" s="21">
        <f>'[1]5.3 附表1-能源结构'!G101*$I$7</f>
        <v>7197.5301877956435</v>
      </c>
      <c r="J27" s="21">
        <f>'[1]5.3 附表1-能源结构'!H101*$J$7</f>
        <v>7025.3519145962719</v>
      </c>
      <c r="K27" s="21">
        <f>'[1]5.3 附表1-能源结构'!I101*$K$7</f>
        <v>6875.4464668265109</v>
      </c>
      <c r="L27" s="21">
        <f>'[1]5.3 附表1-能源结构'!J101*$L$7</f>
        <v>6748.0083071353229</v>
      </c>
      <c r="M27" s="21">
        <f>'[1]5.3 附表1-能源结构'!K101*$M$7</f>
        <v>6584.9117618039018</v>
      </c>
      <c r="N27" s="21">
        <f>'[1]5.3 附表1-能源结构'!L101*$N$7</f>
        <v>6434.6406031215556</v>
      </c>
      <c r="O27" s="21">
        <f>'[1]5.3 附表1-能源结构'!M101*$O$7</f>
        <v>6324.2933563461129</v>
      </c>
      <c r="P27" s="21">
        <f>'[1]5.3 附表1-能源结构'!N101*$P$7</f>
        <v>6195.7040696203212</v>
      </c>
      <c r="Q27" s="21">
        <f>'[1]5.3 附表1-能源结构'!O101*$Q$7</f>
        <v>6064.3854230737161</v>
      </c>
      <c r="R27" s="21">
        <f>'[1]5.3 附表1-能源结构'!P101*$R$7</f>
        <v>5927.0328297323595</v>
      </c>
      <c r="S27" s="21">
        <f>'[1]5.3 附表1-能源结构'!Q101*$S$7</f>
        <v>5792.9186971234412</v>
      </c>
      <c r="T27" s="21">
        <f>'[1]5.3 附表1-能源结构'!R101*$T$7</f>
        <v>5650.8327483038574</v>
      </c>
      <c r="U27" s="21">
        <f>'[1]5.3 附表1-能源结构'!S101*$U$7</f>
        <v>5528.2429489140977</v>
      </c>
      <c r="V27" s="21">
        <f>'[1]5.3 附表1-能源结构'!T101*$V$7</f>
        <v>5409.5655119953162</v>
      </c>
      <c r="W27" s="21">
        <f>'[1]5.3 附表1-能源结构'!U101*$W$7</f>
        <v>5308.8939108386439</v>
      </c>
      <c r="X27" s="21">
        <f>'[1]5.3 附表1-能源结构'!V101*$X$7</f>
        <v>5182.3380748738018</v>
      </c>
      <c r="Y27" s="21">
        <f>'[1]5.3 附表1-能源结构'!W101*$Y$7</f>
        <v>5084.5236081288285</v>
      </c>
      <c r="Z27" s="21">
        <f>'[1]5.3 附表1-能源结构'!X101*$Z$7</f>
        <v>4995.1900131627599</v>
      </c>
      <c r="AA27" s="21">
        <f>'[1]5.3 附表1-能源结构'!Y101*$AA$7</f>
        <v>4911.7517651586923</v>
      </c>
      <c r="AB27" s="21">
        <f>'[1]5.3 附表1-能源结构'!Z101*$AB$7</f>
        <v>4863.7381330129838</v>
      </c>
      <c r="AC27" s="21">
        <f>'[1]5.3 附表1-能源结构'!AA101*$AC$7</f>
        <v>4804.8661824716146</v>
      </c>
      <c r="AD27" s="21">
        <f>'[1]5.3 附表1-能源结构'!AB101*$AD$7</f>
        <v>4745.9513383201374</v>
      </c>
      <c r="AE27" s="21">
        <f>'[1]5.3 附表1-能源结构'!AC101*$AE$7</f>
        <v>4720.5252727860307</v>
      </c>
      <c r="AF27" s="21">
        <f>'[1]5.3 附表1-能源结构'!AD101*$AF$7</f>
        <v>4694.8376927297322</v>
      </c>
      <c r="AG27" s="21">
        <f>'[1]5.3 附表1-能源结构'!AE101*$AG$7</f>
        <v>4688.9782040521413</v>
      </c>
      <c r="AH27" s="21">
        <f>'[1]5.3 附表1-能源结构'!AF101*$AH$7</f>
        <v>4687.2018184103126</v>
      </c>
      <c r="AI27" s="21">
        <f>'[1]5.3 附表1-能源结构'!AG101*$AI$7</f>
        <v>4593.28058975151</v>
      </c>
    </row>
    <row r="28" spans="2:35" ht="16" thickTop="1" thickBot="1">
      <c r="B28" s="19"/>
      <c r="C28" s="13" t="s">
        <v>9</v>
      </c>
      <c r="D28" s="14" t="s">
        <v>19</v>
      </c>
      <c r="E28" s="21">
        <f t="shared" si="0"/>
        <v>662.46608438999988</v>
      </c>
      <c r="F28" s="21">
        <f>'[1]5.3 附表1-能源结构'!D102*$F$7</f>
        <v>647.10126058685387</v>
      </c>
      <c r="G28" s="21">
        <f>'[1]5.3 附表1-能源结构'!E102*$G$7</f>
        <v>592.05459916718144</v>
      </c>
      <c r="H28" s="21">
        <f>'[1]5.3 附表1-能源结构'!F102*$H$7</f>
        <v>581.91608072569409</v>
      </c>
      <c r="I28" s="21">
        <f>'[1]5.3 附表1-能源结构'!G102*$I$7</f>
        <v>557.34413610740614</v>
      </c>
      <c r="J28" s="21">
        <f>'[1]5.3 附表1-能源结构'!H102*$J$7</f>
        <v>528.04932691409886</v>
      </c>
      <c r="K28" s="21">
        <f>'[1]5.3 附表1-能源结构'!I102*$K$7</f>
        <v>512.35298190293702</v>
      </c>
      <c r="L28" s="21">
        <f>'[1]5.3 附表1-能源结构'!J102*$L$7</f>
        <v>486.53351430756248</v>
      </c>
      <c r="M28" s="21">
        <f>'[1]5.3 附表1-能源结构'!K102*$M$7</f>
        <v>472.16406618948554</v>
      </c>
      <c r="N28" s="21">
        <f>'[1]5.3 附表1-能源结构'!L102*$N$7</f>
        <v>453.34967885629135</v>
      </c>
      <c r="O28" s="21">
        <f>'[1]5.3 附表1-能源结构'!M102*$O$7</f>
        <v>435.35106005935489</v>
      </c>
      <c r="P28" s="21">
        <f>'[1]5.3 附表1-能源结构'!N102*$P$7</f>
        <v>418.14258234738014</v>
      </c>
      <c r="Q28" s="21">
        <f>'[1]5.3 附表1-能源结构'!O102*$Q$7</f>
        <v>401.70074383607948</v>
      </c>
      <c r="R28" s="21">
        <f>'[1]5.3 附表1-能源结构'!P102*$R$7</f>
        <v>381.85365569704277</v>
      </c>
      <c r="S28" s="21">
        <f>'[1]5.3 附表1-能源结构'!Q102*$S$7</f>
        <v>371.0340487826997</v>
      </c>
      <c r="T28" s="21">
        <f>'[1]5.3 附表1-能源结构'!R102*$T$7</f>
        <v>352.937279595353</v>
      </c>
      <c r="U28" s="21">
        <f>'[1]5.3 附表1-能源结构'!S102*$U$7</f>
        <v>339.51825854479108</v>
      </c>
      <c r="V28" s="21">
        <f>'[1]5.3 附表1-能源结构'!T102*$V$7</f>
        <v>326.77611759919176</v>
      </c>
      <c r="W28" s="21">
        <f>'[1]5.3 附表1-能源结构'!U102*$W$7</f>
        <v>314.70247409610516</v>
      </c>
      <c r="X28" s="21">
        <f>'[1]5.3 附表1-能源结构'!V102*$X$7</f>
        <v>303.29205018345402</v>
      </c>
      <c r="Y28" s="21">
        <f>'[1]5.3 附表1-能源结构'!W102*$Y$7</f>
        <v>292.54294680916337</v>
      </c>
      <c r="Z28" s="21">
        <f>'[1]5.3 附表1-能源结构'!X102*$Z$7</f>
        <v>282.45696448123778</v>
      </c>
      <c r="AA28" s="21">
        <f>'[1]5.3 附表1-能源结构'!Y102*$AA$7</f>
        <v>273.03997727770371</v>
      </c>
      <c r="AB28" s="21">
        <f>'[1]5.3 附表1-能源结构'!Z102*$AB$7</f>
        <v>264.30236753525958</v>
      </c>
      <c r="AC28" s="21">
        <f>'[1]5.3 附表1-能源结构'!AA102*$AC$7</f>
        <v>256.2595297318195</v>
      </c>
      <c r="AD28" s="21">
        <f>'[1]5.3 附表1-能源结构'!AB102*$AD$7</f>
        <v>248.93245332123868</v>
      </c>
      <c r="AE28" s="21">
        <f>'[1]5.3 附表1-能源结构'!AC102*$AE$7</f>
        <v>242.34839570106851</v>
      </c>
      <c r="AF28" s="21">
        <f>'[1]5.3 附表1-能源结构'!AD102*$AF$7</f>
        <v>236.54165812219898</v>
      </c>
      <c r="AG28" s="21">
        <f>'[1]5.3 附表1-能源结构'!AE102*$AG$7</f>
        <v>231.55447921245141</v>
      </c>
      <c r="AH28" s="21">
        <f>'[1]5.3 附表1-能源结构'!AF102*$AH$7</f>
        <v>227.43806291864388</v>
      </c>
      <c r="AI28" s="21">
        <f>'[1]5.3 附表1-能源结构'!AG102*$AI$7</f>
        <v>219.29518124397453</v>
      </c>
    </row>
    <row r="29" spans="2:35" ht="16" thickTop="1" thickBot="1">
      <c r="B29" s="19"/>
      <c r="C29" s="13" t="s">
        <v>9</v>
      </c>
      <c r="D29" s="20" t="s">
        <v>20</v>
      </c>
      <c r="E29" s="22">
        <f t="shared" si="0"/>
        <v>6.6246608438999992</v>
      </c>
      <c r="F29" s="21">
        <f>'[1]5.3 附表1-能源结构'!D103*$F$7</f>
        <v>6.4710126058685393</v>
      </c>
      <c r="G29" s="21">
        <f>'[1]5.3 附表1-能源结构'!E103*$G$7</f>
        <v>0</v>
      </c>
      <c r="H29" s="21">
        <f>'[1]5.3 附表1-能源结构'!F103*$H$7</f>
        <v>68.828783741748765</v>
      </c>
      <c r="I29" s="21">
        <f>'[1]5.3 附表1-能源结构'!G103*$I$7</f>
        <v>125.85190170167236</v>
      </c>
      <c r="J29" s="21">
        <f>'[1]5.3 附表1-能源结构'!H103*$J$7</f>
        <v>183.66933110055615</v>
      </c>
      <c r="K29" s="21">
        <f>'[1]5.3 附表1-能源结构'!I103*$K$7</f>
        <v>231.38521763358449</v>
      </c>
      <c r="L29" s="21">
        <f>'[1]5.3 附表1-能源结构'!J103*$L$7</f>
        <v>280.28561150326971</v>
      </c>
      <c r="M29" s="21">
        <f>'[1]5.3 附表1-能源结构'!K103*$M$7</f>
        <v>319.85307709610316</v>
      </c>
      <c r="N29" s="21">
        <f>'[1]5.3 附表1-能源结构'!L103*$N$7</f>
        <v>360.7298519931781</v>
      </c>
      <c r="O29" s="21">
        <f>'[1]5.3 附表1-能源结构'!M103*$O$7</f>
        <v>397.90150650586207</v>
      </c>
      <c r="P29" s="21">
        <f>'[1]5.3 附表1-能源结构'!N103*$P$7</f>
        <v>427.13489594624855</v>
      </c>
      <c r="Q29" s="21">
        <f>'[1]5.3 附表1-能源结构'!O103*$Q$7</f>
        <v>457.8524607163917</v>
      </c>
      <c r="R29" s="21">
        <f>'[1]5.3 附表1-能源结构'!P103*$R$7</f>
        <v>481.46765283540168</v>
      </c>
      <c r="S29" s="21">
        <f>'[1]5.3 附表1-能源结构'!Q103*$S$7</f>
        <v>506.68090532691252</v>
      </c>
      <c r="T29" s="21">
        <f>'[1]5.3 附表1-能源结构'!R103*$T$7</f>
        <v>525.56964461481914</v>
      </c>
      <c r="U29" s="21">
        <f>'[1]5.3 附表1-能源结构'!S103*$U$7</f>
        <v>546.18154635466396</v>
      </c>
      <c r="V29" s="21">
        <f>'[1]5.3 附表1-能源结构'!T103*$V$7</f>
        <v>561.20246283339463</v>
      </c>
      <c r="W29" s="21">
        <f>'[1]5.3 附表1-能源结构'!U103*$W$7</f>
        <v>578.09476219828014</v>
      </c>
      <c r="X29" s="21">
        <f>'[1]5.3 附表1-能源结构'!V103*$X$7</f>
        <v>590.10083676998113</v>
      </c>
      <c r="Y29" s="21">
        <f>'[1]5.3 附表1-能源结构'!W103*$Y$7</f>
        <v>604.16478145370695</v>
      </c>
      <c r="Z29" s="21">
        <f>'[1]5.3 附表1-能源结构'!X103*$Z$7</f>
        <v>614.0368793070387</v>
      </c>
      <c r="AA29" s="21">
        <f>'[1]5.3 附表1-能源结构'!Y103*$AA$7</f>
        <v>626.21125223473359</v>
      </c>
      <c r="AB29" s="21">
        <f>'[1]5.3 附表1-能源结构'!Z103*$AB$7</f>
        <v>634.90025244883009</v>
      </c>
      <c r="AC29" s="21">
        <f>'[1]5.3 附表1-能源结构'!AA103*$AC$7</f>
        <v>643.43425400054673</v>
      </c>
      <c r="AD29" s="21">
        <f>'[1]5.3 附表1-能源结构'!AB103*$AD$7</f>
        <v>652.09479620020136</v>
      </c>
      <c r="AE29" s="21">
        <f>'[1]5.3 附表1-能源结构'!AC103*$AE$7</f>
        <v>661.18964479313263</v>
      </c>
      <c r="AF29" s="21">
        <f>'[1]5.3 附表1-能源结构'!AD103*$AF$7</f>
        <v>671.05839967276017</v>
      </c>
      <c r="AG29" s="21">
        <f>'[1]5.3 附表1-能源结构'!AE103*$AG$7</f>
        <v>682.0789550714602</v>
      </c>
      <c r="AH29" s="21">
        <f>'[1]5.3 附表1-能源结构'!AF103*$AH$7</f>
        <v>694.67495304498846</v>
      </c>
      <c r="AI29" s="21">
        <f>'[1]5.3 附表1-能源结构'!AG103*$AI$7</f>
        <v>693.64019284778897</v>
      </c>
    </row>
    <row r="30" spans="2:35" ht="14.25" customHeight="1" thickTop="1" thickBot="1">
      <c r="B30" s="19"/>
    </row>
    <row r="31" spans="2:35" ht="16" thickTop="1" thickBot="1">
      <c r="B31" s="19"/>
      <c r="C31" s="13" t="s">
        <v>11</v>
      </c>
      <c r="D31" s="14" t="s">
        <v>15</v>
      </c>
      <c r="E31" s="21">
        <f t="shared" ref="E31:E36" si="1">E17</f>
        <v>59621.947595099991</v>
      </c>
      <c r="F31" s="21">
        <f>'[1]5.3 附表1-能源结构'!D152*F$10</f>
        <v>58929.587097621792</v>
      </c>
      <c r="G31" s="21">
        <f>'[1]5.3 附表1-能源结构'!E152*G$10</f>
        <v>58225.511440589748</v>
      </c>
      <c r="H31" s="21">
        <f>'[1]5.3 附表1-能源结构'!F152*H$10</f>
        <v>57446.153781190122</v>
      </c>
      <c r="I31" s="21">
        <f>'[1]5.3 附表1-能源结构'!G152*I$10</f>
        <v>55198.850107762366</v>
      </c>
      <c r="J31" s="21">
        <f>'[1]5.3 附表1-能源结构'!H152*J$10</f>
        <v>53005.191692863744</v>
      </c>
      <c r="K31" s="21">
        <f>'[1]5.3 附表1-能源结构'!I152*K$10</f>
        <v>50874.124804542123</v>
      </c>
      <c r="L31" s="21">
        <f>'[1]5.3 附表1-能源结构'!J152*L$10</f>
        <v>48797.991510424654</v>
      </c>
      <c r="M31" s="21">
        <f>'[1]5.3 附表1-能源结构'!K152*M$10</f>
        <v>46774.823081714057</v>
      </c>
      <c r="N31" s="21">
        <f>'[1]5.3 附表1-能源结构'!L152*N$10</f>
        <v>44802.701079093727</v>
      </c>
      <c r="O31" s="21">
        <f>'[1]5.3 附表1-能源结构'!M152*O$10</f>
        <v>42879.747807623404</v>
      </c>
      <c r="P31" s="21">
        <f>'[1]5.3 附表1-能源结构'!N152*P$10</f>
        <v>41004.113098808855</v>
      </c>
      <c r="Q31" s="21">
        <f>'[1]5.3 附表1-能源结构'!O152*Q$10</f>
        <v>39173.955936522252</v>
      </c>
      <c r="R31" s="21">
        <f>'[1]5.3 附表1-能源结构'!P152*R$10</f>
        <v>37387.418893956325</v>
      </c>
      <c r="S31" s="21">
        <f>'[1]5.3 附表1-能源结构'!Q152*S$10</f>
        <v>35642.59259832219</v>
      </c>
      <c r="T31" s="21">
        <f>'[1]5.3 附表1-能源结构'!R152*T$10</f>
        <v>33937.466414256422</v>
      </c>
      <c r="U31" s="21">
        <f>'[1]5.3 附表1-能源结构'!S152*U$10</f>
        <v>32269.86013356124</v>
      </c>
      <c r="V31" s="21">
        <f>'[1]5.3 附表1-能源结构'!T152*V$10</f>
        <v>30637.329536787263</v>
      </c>
      <c r="W31" s="21">
        <f>'[1]5.3 附表1-能源结构'!U152*W$10</f>
        <v>29037.03605619305</v>
      </c>
      <c r="X31" s="21">
        <f>'[1]5.3 附表1-能源结构'!V152*X$10</f>
        <v>27465.567149759234</v>
      </c>
      <c r="Y31" s="21">
        <f>'[1]5.3 附表1-能源结构'!W152*Y$10</f>
        <v>25918.689017907618</v>
      </c>
      <c r="Z31" s="21">
        <f>'[1]5.3 附表1-能源结构'!X152*Z$10</f>
        <v>24391.006438797849</v>
      </c>
      <c r="AA31" s="21">
        <f>'[1]5.3 附表1-能源结构'!Y152*AA$10</f>
        <v>22875.49504229446</v>
      </c>
      <c r="AB31" s="21">
        <f>'[1]5.3 附表1-能源结构'!Z152*AB$10</f>
        <v>21362.858281646346</v>
      </c>
      <c r="AC31" s="21">
        <f>'[1]5.3 附表1-能源结构'!AA152*AC$10</f>
        <v>19840.643294703241</v>
      </c>
      <c r="AD31" s="21">
        <f>'[1]5.3 附表1-能源结构'!AB152*AD$10</f>
        <v>18292.024818692658</v>
      </c>
      <c r="AE31" s="21">
        <f>'[1]5.3 附表1-能源结构'!AC152*AE$10</f>
        <v>16694.131604667964</v>
      </c>
      <c r="AF31" s="21">
        <f>'[1]5.3 附表1-能源结构'!AD152*AF$10</f>
        <v>15015.741553959962</v>
      </c>
      <c r="AG31" s="21">
        <f>'[1]5.3 附表1-能源结构'!AE152*AG$10</f>
        <v>13214.104730259025</v>
      </c>
      <c r="AH31" s="21">
        <f>'[1]5.3 附表1-能源结构'!AF152*AH$10</f>
        <v>11230.560010634856</v>
      </c>
      <c r="AI31" s="21">
        <f>'[1]5.3 附表1-能源结构'!AG152*AI$10</f>
        <v>6180.5391151941367</v>
      </c>
    </row>
    <row r="32" spans="2:35" ht="16" thickTop="1" thickBot="1">
      <c r="B32" s="19"/>
      <c r="C32" s="13" t="s">
        <v>11</v>
      </c>
      <c r="D32" s="14" t="s">
        <v>16</v>
      </c>
      <c r="E32" s="21">
        <f t="shared" si="1"/>
        <v>662.46608438999988</v>
      </c>
      <c r="F32" s="21">
        <f>'[1]5.3 附表1-能源结构'!D153*F$10</f>
        <v>654.77318997357543</v>
      </c>
      <c r="G32" s="21">
        <f>'[1]5.3 附表1-能源结构'!E153*G$10</f>
        <v>675.74462525480351</v>
      </c>
      <c r="H32" s="21">
        <f>'[1]5.3 附表1-能源结构'!F153*H$10</f>
        <v>696.37318917724133</v>
      </c>
      <c r="I32" s="21">
        <f>'[1]5.3 附表1-能源结构'!G153*I$10</f>
        <v>698.9126706378305</v>
      </c>
      <c r="J32" s="21">
        <f>'[1]5.3 附表1-能源结构'!H153*J$10</f>
        <v>701.00818727262345</v>
      </c>
      <c r="K32" s="21">
        <f>'[1]5.3 附表1-能源结构'!I153*K$10</f>
        <v>702.77034860204094</v>
      </c>
      <c r="L32" s="21">
        <f>'[1]5.3 附表1-能源结构'!J153*L$10</f>
        <v>704.09331835502132</v>
      </c>
      <c r="M32" s="21">
        <f>'[1]5.3 附表1-能源结构'!K153*M$10</f>
        <v>704.94011812209737</v>
      </c>
      <c r="N32" s="21">
        <f>'[1]5.3 附表1-能源结构'!L153*N$10</f>
        <v>705.27106848517121</v>
      </c>
      <c r="O32" s="21">
        <f>'[1]5.3 附表1-能源结构'!M153*O$10</f>
        <v>705.0434641521457</v>
      </c>
      <c r="P32" s="21">
        <f>'[1]5.3 附表1-能源结构'!N153*P$10</f>
        <v>704.21113656078182</v>
      </c>
      <c r="Q32" s="21">
        <f>'[1]5.3 附表1-能源结构'!O153*Q$10</f>
        <v>702.7238510775237</v>
      </c>
      <c r="R32" s="21">
        <f>'[1]5.3 附表1-能源结构'!P153*R$10</f>
        <v>700.52646190224243</v>
      </c>
      <c r="S32" s="21">
        <f>'[1]5.3 附表1-能源结构'!Q153*S$10</f>
        <v>697.55771327944194</v>
      </c>
      <c r="T32" s="21">
        <f>'[1]5.3 附表1-能源结构'!R153*T$10</f>
        <v>693.7485260833131</v>
      </c>
      <c r="U32" s="21">
        <f>'[1]5.3 附表1-能源结构'!S153*U$10</f>
        <v>689.01953780049064</v>
      </c>
      <c r="V32" s="21">
        <f>'[1]5.3 附表1-能源结构'!T153*V$10</f>
        <v>683.27756207236621</v>
      </c>
      <c r="W32" s="21">
        <f>'[1]5.3 附表1-能源结构'!U153*W$10</f>
        <v>676.41048790684624</v>
      </c>
      <c r="X32" s="21">
        <f>'[1]5.3 附表1-能源结构'!V153*X$10</f>
        <v>668.27992919303813</v>
      </c>
      <c r="Y32" s="21">
        <f>'[1]5.3 附表1-能源结构'!W153*Y$10</f>
        <v>658.71063454554348</v>
      </c>
      <c r="Z32" s="21">
        <f>'[1]5.3 附表1-能源结构'!X153*Z$10</f>
        <v>647.47523580380857</v>
      </c>
      <c r="AA32" s="21">
        <f>'[1]5.3 附表1-能源结构'!Y153*AA$10</f>
        <v>634.27229299063004</v>
      </c>
      <c r="AB32" s="21">
        <f>'[1]5.3 附表1-能源结构'!Z153*AB$10</f>
        <v>618.69470069687884</v>
      </c>
      <c r="AC32" s="21">
        <f>'[1]5.3 附表1-能源结构'!AA153*AC$10</f>
        <v>600.18423477453064</v>
      </c>
      <c r="AD32" s="21">
        <f>'[1]5.3 附表1-能源结构'!AB153*AD$10</f>
        <v>577.96616350494105</v>
      </c>
      <c r="AE32" s="21">
        <f>'[1]5.3 附表1-能源结构'!AC153*AE$10</f>
        <v>550.95516939616664</v>
      </c>
      <c r="AF32" s="21">
        <f>'[1]5.3 附表1-能源结构'!AD153*AF$10</f>
        <v>517.61995621260974</v>
      </c>
      <c r="AG32" s="21">
        <f>'[1]5.3 附表1-能源结构'!AE153*AG$10</f>
        <v>475.78831188020825</v>
      </c>
      <c r="AH32" s="21">
        <f>'[1]5.3 附表1-能源结构'!AF153*AH$10</f>
        <v>422.36627638534844</v>
      </c>
      <c r="AI32" s="21">
        <f>'[1]5.3 附表1-能源结构'!AG153*AI$10</f>
        <v>242.78730754751771</v>
      </c>
    </row>
    <row r="33" spans="2:35" ht="16" thickTop="1" thickBot="1">
      <c r="B33" s="19"/>
      <c r="C33" s="13" t="s">
        <v>11</v>
      </c>
      <c r="D33" s="14" t="s">
        <v>17</v>
      </c>
      <c r="E33" s="21">
        <f t="shared" si="1"/>
        <v>0</v>
      </c>
      <c r="F33" s="21">
        <f>'[1]5.3 附表1-能源结构'!D154*F$10</f>
        <v>0</v>
      </c>
      <c r="G33" s="21">
        <f>'[1]5.3 附表1-能源结构'!E154*G$10</f>
        <v>71.74378366716077</v>
      </c>
      <c r="H33" s="21">
        <f>'[1]5.3 附表1-能源结构'!F154*H$10</f>
        <v>71.359649933546507</v>
      </c>
      <c r="I33" s="21">
        <f>'[1]5.3 附表1-能源结构'!G154*I$10</f>
        <v>69.126182630241203</v>
      </c>
      <c r="J33" s="21">
        <f>'[1]5.3 附表1-能源结构'!H154*J$10</f>
        <v>66.919354407981942</v>
      </c>
      <c r="K33" s="21">
        <f>'[1]5.3 附表1-能源结构'!I154*K$10</f>
        <v>64.75168487161946</v>
      </c>
      <c r="L33" s="21">
        <f>'[1]5.3 附表1-能源结构'!J154*L$10</f>
        <v>62.614779979598893</v>
      </c>
      <c r="M33" s="21">
        <f>'[1]5.3 附表1-能源结构'!K154*M$10</f>
        <v>60.507311234016974</v>
      </c>
      <c r="N33" s="21">
        <f>'[1]5.3 附表1-能源结构'!L154*N$10</f>
        <v>58.427955264715507</v>
      </c>
      <c r="O33" s="21">
        <f>'[1]5.3 附表1-能源结构'!M154*O$10</f>
        <v>56.375382584844544</v>
      </c>
      <c r="P33" s="21">
        <f>'[1]5.3 附表1-能源结构'!N154*P$10</f>
        <v>54.348240907231862</v>
      </c>
      <c r="Q33" s="21">
        <f>'[1]5.3 附表1-能源结构'!O154*Q$10</f>
        <v>52.345130745562621</v>
      </c>
      <c r="R33" s="21">
        <f>'[1]5.3 附表1-能源结构'!P154*R$10</f>
        <v>50.364570145686301</v>
      </c>
      <c r="S33" s="21">
        <f>'[1]5.3 附表1-能源结构'!Q154*S$10</f>
        <v>48.404944181555969</v>
      </c>
      <c r="T33" s="21">
        <f>'[1]5.3 附表1-能源结构'!R154*T$10</f>
        <v>46.464433181095629</v>
      </c>
      <c r="U33" s="21">
        <f>'[1]5.3 附表1-能源结构'!S154*U$10</f>
        <v>48.590085103142407</v>
      </c>
      <c r="V33" s="21">
        <f>'[1]5.3 附表1-能源结构'!T154*V$10</f>
        <v>46.50742280537559</v>
      </c>
      <c r="W33" s="21">
        <f>'[1]5.3 附表1-能源结构'!U154*W$10</f>
        <v>44.436970092982747</v>
      </c>
      <c r="X33" s="21">
        <f>'[1]5.3 附表1-能源结构'!V154*X$10</f>
        <v>42.374200390684429</v>
      </c>
      <c r="Y33" s="21">
        <f>'[1]5.3 附表1-能源结构'!W154*Y$10</f>
        <v>43.672582222523758</v>
      </c>
      <c r="Z33" s="21">
        <f>'[1]5.3 附表1-能源结构'!X154*Z$10</f>
        <v>41.432997181215292</v>
      </c>
      <c r="AA33" s="21">
        <f>'[1]5.3 附表1-能源结构'!Y154*AA$10</f>
        <v>39.174902135940648</v>
      </c>
      <c r="AB33" s="21">
        <f>'[1]5.3 附表1-能源结构'!Z154*AB$10</f>
        <v>39.71936082433011</v>
      </c>
      <c r="AC33" s="21">
        <f>'[1]5.3 附表1-能源结构'!AA154*AC$10</f>
        <v>37.189422137034228</v>
      </c>
      <c r="AD33" s="21">
        <f>'[1]5.3 附表1-能源结构'!AB154*AD$10</f>
        <v>34.565771308407072</v>
      </c>
      <c r="AE33" s="21">
        <f>'[1]5.3 附表1-能源结构'!AC154*AE$10</f>
        <v>34.074721573127924</v>
      </c>
      <c r="AF33" s="21">
        <f>'[1]5.3 附表1-能源结构'!AD154*AF$10</f>
        <v>30.898404695673186</v>
      </c>
      <c r="AG33" s="21">
        <f>'[1]5.3 附表1-能源结构'!AE154*AG$10</f>
        <v>29.239943549847894</v>
      </c>
      <c r="AH33" s="21">
        <f>'[1]5.3 附表1-能源结构'!AF154*AH$10</f>
        <v>25.053072055150501</v>
      </c>
      <c r="AI33" s="21">
        <f>'[1]5.3 附表1-能源结构'!AG154*AI$10</f>
        <v>14.768475334793317</v>
      </c>
    </row>
    <row r="34" spans="2:35" ht="16" thickTop="1" thickBot="1">
      <c r="B34" s="19"/>
      <c r="C34" s="13" t="s">
        <v>11</v>
      </c>
      <c r="D34" s="14" t="s">
        <v>18</v>
      </c>
      <c r="E34" s="21">
        <f t="shared" si="1"/>
        <v>5299.728675119999</v>
      </c>
      <c r="F34" s="21">
        <f>'[1]5.3 附表1-能源结构'!D155*F$10</f>
        <v>5238.1855197886034</v>
      </c>
      <c r="G34" s="21">
        <f>'[1]5.3 附表1-能源结构'!E155*G$10</f>
        <v>5602.9276130845337</v>
      </c>
      <c r="H34" s="21">
        <f>'[1]5.3 附表1-能源结构'!F155*H$10</f>
        <v>6016.2855607939964</v>
      </c>
      <c r="I34" s="21">
        <f>'[1]5.3 附表1-能源结构'!G155*I$10</f>
        <v>6252.9596046075649</v>
      </c>
      <c r="J34" s="21">
        <f>'[1]5.3 附表1-能源结构'!H155*J$10</f>
        <v>6466.4668879863029</v>
      </c>
      <c r="K34" s="21">
        <f>'[1]5.3 附表1-能源结构'!I155*K$10</f>
        <v>6640.7560632482418</v>
      </c>
      <c r="L34" s="21">
        <f>'[1]5.3 附表1-能源结构'!J155*L$10</f>
        <v>6799.9868783305628</v>
      </c>
      <c r="M34" s="21">
        <f>'[1]5.3 附表1-能源结构'!K155*M$10</f>
        <v>6927.3109288603791</v>
      </c>
      <c r="N34" s="21">
        <f>'[1]5.3 附表1-能源结构'!L155*N$10</f>
        <v>7029.3828999939315</v>
      </c>
      <c r="O34" s="21">
        <f>'[1]5.3 附表1-能源结构'!M155*O$10</f>
        <v>7106.9277415605711</v>
      </c>
      <c r="P34" s="21">
        <f>'[1]5.3 附表1-能源结构'!N155*P$10</f>
        <v>7160.6258385785713</v>
      </c>
      <c r="Q34" s="21">
        <f>'[1]5.3 附表1-能源结构'!O155*Q$10</f>
        <v>7186.3514009106184</v>
      </c>
      <c r="R34" s="21">
        <f>'[1]5.3 附表1-能源结构'!P155*R$10</f>
        <v>7185.2246078274411</v>
      </c>
      <c r="S34" s="21">
        <f>'[1]5.3 附表1-能源结构'!Q155*S$10</f>
        <v>7167.0936086750789</v>
      </c>
      <c r="T34" s="21">
        <f>'[1]5.3 附表1-能源结构'!R155*T$10</f>
        <v>7123.414331944834</v>
      </c>
      <c r="U34" s="21">
        <f>'[1]5.3 附表1-能源结构'!S155*U$10</f>
        <v>7051.0062373174515</v>
      </c>
      <c r="V34" s="21">
        <f>'[1]5.3 附表1-能源结构'!T155*V$10</f>
        <v>6970.5043442329406</v>
      </c>
      <c r="W34" s="21">
        <f>'[1]5.3 附表1-能源结构'!U155*W$10</f>
        <v>6858.1798424249073</v>
      </c>
      <c r="X34" s="21">
        <f>'[1]5.3 附表1-能源结构'!V155*X$10</f>
        <v>6733.057475849233</v>
      </c>
      <c r="Y34" s="21">
        <f>'[1]5.3 附表1-能源结构'!W155*Y$10</f>
        <v>6576.8091132458403</v>
      </c>
      <c r="Z34" s="21">
        <f>'[1]5.3 附表1-能源结构'!X155*Z$10</f>
        <v>6405.9760323114278</v>
      </c>
      <c r="AA34" s="21">
        <f>'[1]5.3 附表1-能源结构'!Y155*AA$10</f>
        <v>6208.9161158415782</v>
      </c>
      <c r="AB34" s="21">
        <f>'[1]5.3 附表1-能源结构'!Z155*AB$10</f>
        <v>5986.5512323886514</v>
      </c>
      <c r="AC34" s="21">
        <f>'[1]5.3 附表1-能源结构'!AA155*AC$10</f>
        <v>5737.8692676988239</v>
      </c>
      <c r="AD34" s="21">
        <f>'[1]5.3 附表1-能源结构'!AB155*AD$10</f>
        <v>5454.4360842614351</v>
      </c>
      <c r="AE34" s="21">
        <f>'[1]5.3 附表1-能源结构'!AC155*AE$10</f>
        <v>5123.8321146419139</v>
      </c>
      <c r="AF34" s="21">
        <f>'[1]5.3 附表1-能源结构'!AD155*AF$10</f>
        <v>4742.171651128172</v>
      </c>
      <c r="AG34" s="21">
        <f>'[1]5.3 附表1-能源结构'!AE155*AG$10</f>
        <v>4290.8447445453567</v>
      </c>
      <c r="AH34" s="21">
        <f>'[1]5.3 附表1-能源结构'!AF155*AH$10</f>
        <v>3750.0155758870133</v>
      </c>
      <c r="AI34" s="21">
        <f>'[1]5.3 附表1-能源结构'!AG155*AI$10</f>
        <v>2118.933457671445</v>
      </c>
    </row>
    <row r="35" spans="2:35" ht="16" thickTop="1" thickBot="1">
      <c r="B35" s="19"/>
      <c r="C35" s="13" t="s">
        <v>11</v>
      </c>
      <c r="D35" s="14" t="s">
        <v>19</v>
      </c>
      <c r="E35" s="21">
        <f t="shared" si="1"/>
        <v>662.46608438999988</v>
      </c>
      <c r="F35" s="21">
        <f>'[1]5.3 附表1-能源结构'!D156*F$10</f>
        <v>654.77318997357543</v>
      </c>
      <c r="G35" s="21">
        <f>'[1]5.3 附表1-能源结构'!E156*G$10</f>
        <v>606.56108009508637</v>
      </c>
      <c r="H35" s="21">
        <f>'[1]5.3 附表1-能源结构'!F156*H$10</f>
        <v>603.31340398362045</v>
      </c>
      <c r="I35" s="21">
        <f>'[1]5.3 附表1-能源结构'!G156*I$10</f>
        <v>584.43045314658457</v>
      </c>
      <c r="J35" s="21">
        <f>'[1]5.3 附表1-能源结构'!H156*J$10</f>
        <v>559.68914595766705</v>
      </c>
      <c r="K35" s="21">
        <f>'[1]5.3 附表1-能源结构'!I156*K$10</f>
        <v>547.44606300550993</v>
      </c>
      <c r="L35" s="21">
        <f>'[1]5.3 附表1-能源结构'!J156*L$10</f>
        <v>523.68725073846338</v>
      </c>
      <c r="M35" s="21">
        <f>'[1]5.3 附表1-能源结构'!K156*M$10</f>
        <v>506.06114850268739</v>
      </c>
      <c r="N35" s="21">
        <f>'[1]5.3 附表1-能源结构'!L156*N$10</f>
        <v>488.6701713048933</v>
      </c>
      <c r="O35" s="21">
        <f>'[1]5.3 附表1-能源结构'!M156*O$10</f>
        <v>471.50319980051796</v>
      </c>
      <c r="P35" s="21">
        <f>'[1]5.3 附表1-能源结构'!N156*P$10</f>
        <v>454.5489239513937</v>
      </c>
      <c r="Q35" s="21">
        <f>'[1]5.3 附表1-能源结构'!O156*Q$10</f>
        <v>442.55428721248393</v>
      </c>
      <c r="R35" s="21">
        <f>'[1]5.3 附表1-能源结构'!P156*R$10</f>
        <v>430.38814488131925</v>
      </c>
      <c r="S35" s="21">
        <f>'[1]5.3 附表1-能源结构'!Q156*S$10</f>
        <v>418.0426997498015</v>
      </c>
      <c r="T35" s="21">
        <f>'[1]5.3 附表1-能源结构'!R156*T$10</f>
        <v>405.50778048956181</v>
      </c>
      <c r="U35" s="21">
        <f>'[1]5.3 附表1-能源结构'!S156*U$10</f>
        <v>396.81902834232972</v>
      </c>
      <c r="V35" s="21">
        <f>'[1]5.3 附表1-能源结构'!T156*V$10</f>
        <v>383.68623814434864</v>
      </c>
      <c r="W35" s="21">
        <f>'[1]5.3 附表1-能源结构'!U156*W$10</f>
        <v>374.01116494927146</v>
      </c>
      <c r="X35" s="21">
        <f>'[1]5.3 附表1-能源结构'!V156*X$10</f>
        <v>363.71188668670806</v>
      </c>
      <c r="Y35" s="21">
        <f>'[1]5.3 附表1-能源结构'!W156*Y$10</f>
        <v>356.09951658365532</v>
      </c>
      <c r="Z35" s="21">
        <f>'[1]5.3 附表1-能源结构'!X156*Z$10</f>
        <v>344.21259196701936</v>
      </c>
      <c r="AA35" s="21">
        <f>'[1]5.3 附表1-能源结构'!Y156*AA$10</f>
        <v>334.49339516072399</v>
      </c>
      <c r="AB35" s="21">
        <f>'[1]5.3 附表1-能源结构'!Z156*AB$10</f>
        <v>320.59198379637877</v>
      </c>
      <c r="AC35" s="21">
        <f>'[1]5.3 附表1-能源结构'!AA156*AC$10</f>
        <v>305.48453898278115</v>
      </c>
      <c r="AD35" s="21">
        <f>'[1]5.3 附表1-能源结构'!AB156*AD$10</f>
        <v>291.34007245657386</v>
      </c>
      <c r="AE35" s="21">
        <f>'[1]5.3 附表1-能源结构'!AC156*AE$10</f>
        <v>272.59777258502339</v>
      </c>
      <c r="AF35" s="21">
        <f>'[1]5.3 附表1-能源结构'!AD156*AF$10</f>
        <v>253.36691850452013</v>
      </c>
      <c r="AG35" s="21">
        <f>'[1]5.3 附表1-能源结构'!AE156*AG$10</f>
        <v>228.43705898318669</v>
      </c>
      <c r="AH35" s="21">
        <f>'[1]5.3 附表1-能源结构'!AF156*AH$10</f>
        <v>198.8587594377571</v>
      </c>
      <c r="AI35" s="21">
        <f>'[1]5.3 附表1-能源结构'!AG156*AI$10</f>
        <v>112.06666577578459</v>
      </c>
    </row>
    <row r="36" spans="2:35" ht="16" thickTop="1" thickBot="1">
      <c r="B36" s="23"/>
      <c r="C36" s="13" t="s">
        <v>11</v>
      </c>
      <c r="D36" s="20" t="s">
        <v>20</v>
      </c>
      <c r="E36" s="22">
        <f t="shared" si="1"/>
        <v>6.6246608438999992</v>
      </c>
      <c r="F36" s="21">
        <f>'[1]5.3 附表1-能源结构'!D157*F$10</f>
        <v>6.547731899735755</v>
      </c>
      <c r="G36" s="21">
        <f>'[1]5.3 附表1-能源结构'!E157*G$10</f>
        <v>0</v>
      </c>
      <c r="H36" s="21">
        <f>'[1]5.3 附表1-能源结构'!F157*H$10</f>
        <v>227.05343160673891</v>
      </c>
      <c r="I36" s="21">
        <f>'[1]5.3 附表1-能源结构'!G157*I$10</f>
        <v>439.89388946517124</v>
      </c>
      <c r="J36" s="21">
        <f>'[1]5.3 附表1-能源结构'!H157*J$10</f>
        <v>638.77565571255491</v>
      </c>
      <c r="K36" s="21">
        <f>'[1]5.3 附表1-能源结构'!I157*K$10</f>
        <v>824.11235291152036</v>
      </c>
      <c r="L36" s="21">
        <f>'[1]5.3 附表1-能源结构'!J157*L$10</f>
        <v>996.14422694816426</v>
      </c>
      <c r="M36" s="21">
        <f>'[1]5.3 附表1-能源结构'!K157*M$10</f>
        <v>1155.1395781039603</v>
      </c>
      <c r="N36" s="21">
        <f>'[1]5.3 附表1-能源结构'!L157*N$10</f>
        <v>1306.6615450109105</v>
      </c>
      <c r="O36" s="21">
        <f>'[1]5.3 附表1-能源结构'!M157*O$10</f>
        <v>1440.134773303756</v>
      </c>
      <c r="P36" s="21">
        <f>'[1]5.3 附表1-能源结构'!N157*P$10</f>
        <v>1561.2767387895699</v>
      </c>
      <c r="Q36" s="21">
        <f>'[1]5.3 附表1-能源结构'!O157*Q$10</f>
        <v>1670.2855356084071</v>
      </c>
      <c r="R36" s="21">
        <f>'[1]5.3 附表1-能源结构'!P157*R$10</f>
        <v>1767.338552384992</v>
      </c>
      <c r="S36" s="21">
        <f>'[1]5.3 附表1-能源结构'!Q157*S$10</f>
        <v>1852.5892273122784</v>
      </c>
      <c r="T36" s="21">
        <f>'[1]5.3 附表1-能源结构'!R157*T$10</f>
        <v>1926.1619573254188</v>
      </c>
      <c r="U36" s="21">
        <f>'[1]5.3 附表1-能源结构'!S157*U$10</f>
        <v>1988.1443154702436</v>
      </c>
      <c r="V36" s="21">
        <f>'[1]5.3 附表1-能源结构'!T157*V$10</f>
        <v>2038.5753663022967</v>
      </c>
      <c r="W36" s="21">
        <f>'[1]5.3 附表1-能源结构'!U157*W$10</f>
        <v>2077.4283518469433</v>
      </c>
      <c r="X36" s="21">
        <f>'[1]5.3 附表1-能源结构'!V157*X$10</f>
        <v>2104.58528607066</v>
      </c>
      <c r="Y36" s="21">
        <f>'[1]5.3 附表1-能源结构'!W157*Y$10</f>
        <v>2116.4405230915363</v>
      </c>
      <c r="Z36" s="21">
        <f>'[1]5.3 附表1-能源结构'!X157*Z$10</f>
        <v>2116.2700098713044</v>
      </c>
      <c r="AA36" s="21">
        <f>'[1]5.3 附表1-能源结构'!Y157*AA$10</f>
        <v>2106.4043533094241</v>
      </c>
      <c r="AB36" s="21">
        <f>'[1]5.3 附表1-能源结构'!Z157*AB$10</f>
        <v>2076.7551516721173</v>
      </c>
      <c r="AC36" s="21">
        <f>'[1]5.3 附表1-能源结构'!AA157*AC$10</f>
        <v>2034.7926683548728</v>
      </c>
      <c r="AD36" s="21">
        <f>'[1]5.3 附表1-能源结构'!AB157*AD$10</f>
        <v>1975.1869319089756</v>
      </c>
      <c r="AE36" s="21">
        <f>'[1]5.3 附表1-能源结构'!AC157*AE$10</f>
        <v>1890.0112232561621</v>
      </c>
      <c r="AF36" s="21">
        <f>'[1]5.3 附表1-能源结构'!AD157*AF$10</f>
        <v>1781.8080041171536</v>
      </c>
      <c r="AG36" s="21">
        <f>'[1]5.3 附表1-能源结构'!AE157*AG$10</f>
        <v>1641.0918317352132</v>
      </c>
      <c r="AH36" s="21">
        <f>'[1]5.3 附表1-能源结构'!AF157*AH$10</f>
        <v>1457.7756302090697</v>
      </c>
      <c r="AI36" s="21">
        <f>'[1]5.3 附表1-能源结构'!AG157*AI$10</f>
        <v>838.32815871032653</v>
      </c>
    </row>
    <row r="37" spans="2:35" ht="16" thickTop="1" thickBot="1">
      <c r="B37" s="24"/>
      <c r="D37" s="20"/>
      <c r="E37" s="2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2:35" ht="16" thickTop="1" thickBot="1">
      <c r="B38" s="17" t="s">
        <v>21</v>
      </c>
      <c r="C38" s="13" t="s">
        <v>5</v>
      </c>
      <c r="D38" s="14" t="s">
        <v>15</v>
      </c>
      <c r="E38" s="18">
        <f>'[1]5.3 附表1-能源结构'!D166*E$5</f>
        <v>1.0790434716600001</v>
      </c>
      <c r="F38" s="18">
        <f>'[1]5.3 附表1-能源结构'!E166*F$5</f>
        <v>1.1478618871897663</v>
      </c>
      <c r="G38" s="18">
        <f>'[1]5.3 附表1-能源结构'!F166*G$5</f>
        <v>1.2729592267333163</v>
      </c>
      <c r="H38" s="18">
        <f>'[1]5.3 附表1-能源结构'!G166*H$5</f>
        <v>1.4103014612210101</v>
      </c>
      <c r="I38" s="18">
        <f>'[1]5.3 附表1-能源结构'!H166*I$5</f>
        <v>1.522478726407769</v>
      </c>
      <c r="J38" s="18">
        <f>'[1]5.3 附表1-能源结构'!I166*J$5</f>
        <v>1.6434105300460646</v>
      </c>
      <c r="K38" s="18">
        <f>'[1]5.3 附表1-能源结构'!J166*K$5</f>
        <v>1.7902570146580561</v>
      </c>
      <c r="L38" s="18">
        <f>'[1]5.3 附表1-能源结构'!K166*L$5</f>
        <v>1.9502251972772433</v>
      </c>
      <c r="M38" s="18">
        <f>'[1]5.3 附表1-能源结构'!L166*M$5</f>
        <v>2.1244874321573968</v>
      </c>
      <c r="N38" s="18">
        <f>'[1]5.3 附表1-能源结构'!M166*N$5</f>
        <v>2.3143207549984357</v>
      </c>
      <c r="O38" s="18">
        <f>'[1]5.3 附表1-能源结构'!N166*O$5</f>
        <v>2.5211167397044569</v>
      </c>
      <c r="P38" s="18">
        <f>'[1]5.3 附表1-能源结构'!O166*P$5</f>
        <v>2.7463907715126408</v>
      </c>
      <c r="Q38" s="18">
        <f>'[1]5.3 附表1-能源结构'!P166*Q$5</f>
        <v>2.9917944612316307</v>
      </c>
      <c r="R38" s="18">
        <f>'[1]5.3 附表1-能源结构'!Q166*R$5</f>
        <v>3.2591257343652393</v>
      </c>
      <c r="S38" s="18">
        <f>'[1]5.3 附表1-能源结构'!R166*S$5</f>
        <v>3.5503448049064703</v>
      </c>
      <c r="T38" s="18">
        <f>'[1]5.3 附表1-能源结构'!S166*T$5</f>
        <v>3.867585600178979</v>
      </c>
      <c r="U38" s="18">
        <f>'[1]5.3 附表1-能源结构'!T166*U$5</f>
        <v>4.2383155927450202</v>
      </c>
      <c r="V38" s="18">
        <f>'[1]5.3 附表1-能源结构'!U166*V$5</f>
        <v>4.6445821555634845</v>
      </c>
      <c r="W38" s="18">
        <f>'[1]5.3 附表1-能源结构'!V166*W$5</f>
        <v>5.0897916702345345</v>
      </c>
      <c r="X38" s="18">
        <f>'[1]5.3 附表1-能源结构'!W166*X$5</f>
        <v>5.5776770393344268</v>
      </c>
      <c r="Y38" s="18">
        <f>'[1]5.3 附表1-能源结构'!X166*Y$5</f>
        <v>6.1123289853010663</v>
      </c>
      <c r="Z38" s="18">
        <f>'[1]5.3 附表1-能源结构'!Y166*Z$5</f>
        <v>6.6982303494950477</v>
      </c>
      <c r="AA38" s="18">
        <f>'[1]5.3 附表1-能源结构'!Z166*AA$5</f>
        <v>7.3402936790200659</v>
      </c>
      <c r="AB38" s="18">
        <f>'[1]5.3 附表1-能源结构'!AA166*AB$5</f>
        <v>8.0439024164529869</v>
      </c>
      <c r="AC38" s="18">
        <f>'[1]5.3 附表1-能源结构'!AB166*AC$5</f>
        <v>8.8149560378429239</v>
      </c>
      <c r="AD38" s="18">
        <f>'[1]5.3 附表1-能源结构'!AC166*AD$5</f>
        <v>9.6599195174432886</v>
      </c>
      <c r="AE38" s="18">
        <f>'[1]5.3 附表1-能源结构'!AD166*AE$5</f>
        <v>10.585877533918628</v>
      </c>
      <c r="AF38" s="18">
        <f>'[1]5.3 附表1-能源结构'!AE166*AF$5</f>
        <v>11.60059387252354</v>
      </c>
      <c r="AG38" s="18">
        <f>'[1]5.3 附表1-能源结构'!AF166*AG$5</f>
        <v>12.712576521316961</v>
      </c>
      <c r="AH38" s="18">
        <f>'[1]5.3 附表1-能源结构'!AG166*AH$5</f>
        <v>13.93114900721746</v>
      </c>
      <c r="AI38" s="18">
        <f>'[1]5.3 附表1-能源结构'!AH166*AI$5</f>
        <v>16.746658488345169</v>
      </c>
    </row>
    <row r="39" spans="2:35" ht="16" thickTop="1" thickBot="1">
      <c r="B39" s="19"/>
      <c r="C39" s="13" t="s">
        <v>5</v>
      </c>
      <c r="D39" s="14" t="s">
        <v>16</v>
      </c>
      <c r="E39" s="18">
        <f>'[1]5.3 附表1-能源结构'!D167*E$5</f>
        <v>1.079043471660001</v>
      </c>
      <c r="F39" s="18">
        <f>'[1]5.3 附表1-能源结构'!E167*F$5</f>
        <v>1.1821523980143076</v>
      </c>
      <c r="G39" s="18">
        <f>'[1]5.3 附表1-能源结构'!F167*G$5</f>
        <v>1.3426458050797221</v>
      </c>
      <c r="H39" s="18">
        <f>'[1]5.3 附表1-能源结构'!G167*H$5</f>
        <v>1.5156740741938075</v>
      </c>
      <c r="I39" s="18">
        <f>'[1]5.3 附表1-能源结构'!H167*I$5</f>
        <v>1.6593401432583499</v>
      </c>
      <c r="J39" s="18">
        <f>'[1]5.3 附表1-能源结构'!I167*J$5</f>
        <v>1.8083697029255499</v>
      </c>
      <c r="K39" s="18">
        <f>'[1]5.3 附表1-能源结构'!J167*K$5</f>
        <v>1.9804912506305321</v>
      </c>
      <c r="L39" s="18">
        <f>'[1]5.3 附表1-能源结构'!K167*L$5</f>
        <v>2.1601535413235369</v>
      </c>
      <c r="M39" s="18">
        <f>'[1]5.3 附表1-能源结构'!L167*M$5</f>
        <v>2.3467421755286839</v>
      </c>
      <c r="N39" s="18">
        <f>'[1]5.3 附表1-能源结构'!M167*N$5</f>
        <v>2.6551484598704631</v>
      </c>
      <c r="O39" s="18">
        <f>'[1]5.3 附表1-能源结构'!N167*O$5</f>
        <v>2.9892659330908367</v>
      </c>
      <c r="P39" s="18">
        <f>'[1]5.3 附表1-能源结构'!O167*P$5</f>
        <v>3.4878291333048779</v>
      </c>
      <c r="Q39" s="18">
        <f>'[1]5.3 附表1-能源结构'!P167*Q$5</f>
        <v>3.8898833578272431</v>
      </c>
      <c r="R39" s="18">
        <f>'[1]5.3 附表1-能源结构'!Q167*R$5</f>
        <v>4.1600138544765635</v>
      </c>
      <c r="S39" s="18">
        <f>'[1]5.3 附表1-能源结构'!R167*S$5</f>
        <v>4.4335158212119783</v>
      </c>
      <c r="T39" s="18">
        <f>'[1]5.3 附表1-能源结构'!S167*T$5</f>
        <v>4.7078973680373668</v>
      </c>
      <c r="U39" s="18">
        <f>'[1]5.3 附表1-能源结构'!T167*U$5</f>
        <v>5.0098492274607631</v>
      </c>
      <c r="V39" s="18">
        <f>'[1]5.3 附表1-能源结构'!U167*V$5</f>
        <v>5.3093727727471673</v>
      </c>
      <c r="W39" s="18">
        <f>'[1]5.3 附表1-能源结构'!V167*W$5</f>
        <v>5.6019591471244832</v>
      </c>
      <c r="X39" s="18">
        <f>'[1]5.3 附表1-能源结构'!W167*X$5</f>
        <v>5.8821607695344298</v>
      </c>
      <c r="Y39" s="18">
        <f>'[1]5.3 附表1-能源结构'!X167*Y$5</f>
        <v>6.1434452300536586</v>
      </c>
      <c r="Z39" s="18">
        <f>'[1]5.3 附表1-能源结构'!Y167*Z$5</f>
        <v>6.3780291887761704</v>
      </c>
      <c r="AA39" s="18">
        <f>'[1]5.3 附表1-能源结构'!Z167*AA$5</f>
        <v>6.576689735894508</v>
      </c>
      <c r="AB39" s="18">
        <f>'[1]5.3 附表1-能源结构'!AA167*AB$5</f>
        <v>6.7285503626483489</v>
      </c>
      <c r="AC39" s="18">
        <f>'[1]5.3 附表1-能源结构'!AB167*AC$5</f>
        <v>6.8208383486489561</v>
      </c>
      <c r="AD39" s="18">
        <f>'[1]5.3 附表1-能源结构'!AC167*AD$5</f>
        <v>6.8386099867052748</v>
      </c>
      <c r="AE39" s="18">
        <f>'[1]5.3 附表1-能源结构'!AD167*AE$5</f>
        <v>6.764439637088266</v>
      </c>
      <c r="AF39" s="18">
        <f>'[1]5.3 附表1-能源结构'!AE167*AF$5</f>
        <v>6.5780681240703576</v>
      </c>
      <c r="AG39" s="18">
        <f>'[1]5.3 附表1-能源结构'!AF167*AG$5</f>
        <v>6.2560054528976572</v>
      </c>
      <c r="AH39" s="18">
        <f>'[1]5.3 附表1-能源结构'!AG167*AH$5</f>
        <v>5.7710822287848691</v>
      </c>
      <c r="AI39" s="18">
        <f>'[1]5.3 附表1-能源结构'!AH167*AI$5</f>
        <v>4.1866646220862958</v>
      </c>
    </row>
    <row r="40" spans="2:35" ht="16" thickTop="1" thickBot="1">
      <c r="B40" s="19"/>
      <c r="C40" s="13" t="s">
        <v>5</v>
      </c>
      <c r="D40" s="14" t="s">
        <v>17</v>
      </c>
      <c r="E40" s="18">
        <f>'[1]5.3 附表1-能源结构'!D168*E$5</f>
        <v>0</v>
      </c>
      <c r="F40" s="18">
        <f>'[1]5.3 附表1-能源结构'!E168*F$5</f>
        <v>0</v>
      </c>
      <c r="G40" s="18">
        <f>'[1]5.3 附表1-能源结构'!F168*G$5</f>
        <v>0</v>
      </c>
      <c r="H40" s="18">
        <f>'[1]5.3 附表1-能源结构'!G168*H$5</f>
        <v>0</v>
      </c>
      <c r="I40" s="18">
        <f>'[1]5.3 附表1-能源结构'!H168*I$5</f>
        <v>0</v>
      </c>
      <c r="J40" s="18">
        <f>'[1]5.3 附表1-能源结构'!I168*J$5</f>
        <v>0</v>
      </c>
      <c r="K40" s="18">
        <f>'[1]5.3 附表1-能源结构'!J168*K$5</f>
        <v>0</v>
      </c>
      <c r="L40" s="18">
        <f>'[1]5.3 附表1-能源结构'!K168*L$5</f>
        <v>0</v>
      </c>
      <c r="M40" s="18">
        <f>'[1]5.3 附表1-能源结构'!L168*M$5</f>
        <v>0</v>
      </c>
      <c r="N40" s="18">
        <f>'[1]5.3 附表1-能源结构'!M168*N$5</f>
        <v>0</v>
      </c>
      <c r="O40" s="18">
        <f>'[1]5.3 附表1-能源结构'!N168*O$5</f>
        <v>0</v>
      </c>
      <c r="P40" s="18">
        <f>'[1]5.3 附表1-能源结构'!O168*P$5</f>
        <v>0</v>
      </c>
      <c r="Q40" s="18">
        <f>'[1]5.3 附表1-能源结构'!P168*Q$5</f>
        <v>0</v>
      </c>
      <c r="R40" s="18">
        <f>'[1]5.3 附表1-能源结构'!Q168*R$5</f>
        <v>0</v>
      </c>
      <c r="S40" s="18">
        <f>'[1]5.3 附表1-能源结构'!R168*S$5</f>
        <v>0</v>
      </c>
      <c r="T40" s="18">
        <f>'[1]5.3 附表1-能源结构'!S168*T$5</f>
        <v>0</v>
      </c>
      <c r="U40" s="18">
        <f>'[1]5.3 附表1-能源结构'!T168*U$5</f>
        <v>0</v>
      </c>
      <c r="V40" s="18">
        <f>'[1]5.3 附表1-能源结构'!U168*V$5</f>
        <v>0</v>
      </c>
      <c r="W40" s="18">
        <f>'[1]5.3 附表1-能源结构'!V168*W$5</f>
        <v>0</v>
      </c>
      <c r="X40" s="18">
        <f>'[1]5.3 附表1-能源结构'!W168*X$5</f>
        <v>0</v>
      </c>
      <c r="Y40" s="18">
        <f>'[1]5.3 附表1-能源结构'!X168*Y$5</f>
        <v>0</v>
      </c>
      <c r="Z40" s="18">
        <f>'[1]5.3 附表1-能源结构'!Y168*Z$5</f>
        <v>0</v>
      </c>
      <c r="AA40" s="18">
        <f>'[1]5.3 附表1-能源结构'!Z168*AA$5</f>
        <v>0</v>
      </c>
      <c r="AB40" s="18">
        <f>'[1]5.3 附表1-能源结构'!AA168*AB$5</f>
        <v>0</v>
      </c>
      <c r="AC40" s="18">
        <f>'[1]5.3 附表1-能源结构'!AB168*AC$5</f>
        <v>0</v>
      </c>
      <c r="AD40" s="18">
        <f>'[1]5.3 附表1-能源结构'!AC168*AD$5</f>
        <v>0</v>
      </c>
      <c r="AE40" s="18">
        <f>'[1]5.3 附表1-能源结构'!AD168*AE$5</f>
        <v>0</v>
      </c>
      <c r="AF40" s="18">
        <f>'[1]5.3 附表1-能源结构'!AE168*AF$5</f>
        <v>0</v>
      </c>
      <c r="AG40" s="18">
        <f>'[1]5.3 附表1-能源结构'!AF168*AG$5</f>
        <v>0</v>
      </c>
      <c r="AH40" s="18">
        <f>'[1]5.3 附表1-能源结构'!AG168*AH$5</f>
        <v>0</v>
      </c>
      <c r="AI40" s="18">
        <f>'[1]5.3 附表1-能源结构'!AH168*AI$5</f>
        <v>0</v>
      </c>
    </row>
    <row r="41" spans="2:35" ht="16" thickTop="1" thickBot="1">
      <c r="B41" s="19"/>
      <c r="C41" s="13" t="s">
        <v>5</v>
      </c>
      <c r="D41" s="14" t="s">
        <v>18</v>
      </c>
      <c r="E41" s="18">
        <f>'[1]5.3 附表1-能源结构'!D169*E$5</f>
        <v>8.092826037450001</v>
      </c>
      <c r="F41" s="18">
        <f>'[1]5.3 附表1-能源结构'!E169*F$5</f>
        <v>8.3998919351791521</v>
      </c>
      <c r="G41" s="18">
        <f>'[1]5.3 附表1-能源结构'!F169*G$5</f>
        <v>9.0891099162570477</v>
      </c>
      <c r="H41" s="18">
        <f>'[1]5.3 附表1-能源结构'!G169*H$5</f>
        <v>9.8252049290515089</v>
      </c>
      <c r="I41" s="18">
        <f>'[1]5.3 附表1-能源结构'!H169*I$5</f>
        <v>10.349126462248487</v>
      </c>
      <c r="J41" s="18">
        <f>'[1]5.3 附表1-能源结构'!I169*J$5</f>
        <v>10.899870186474391</v>
      </c>
      <c r="K41" s="18">
        <f>'[1]5.3 附表1-能源结构'!J169*K$5</f>
        <v>11.585464312885334</v>
      </c>
      <c r="L41" s="18">
        <f>'[1]5.3 附表1-能源结构'!K169*L$5</f>
        <v>12.31418354103727</v>
      </c>
      <c r="M41" s="18">
        <f>'[1]5.3 附表1-能源结构'!L169*M$5</f>
        <v>13.088739516610834</v>
      </c>
      <c r="N41" s="18">
        <f>'[1]5.3 附表1-能源结构'!M169*N$5</f>
        <v>13.912014063426666</v>
      </c>
      <c r="O41" s="18">
        <f>'[1]5.3 附表1-能源结构'!N169*O$5</f>
        <v>14.787072877847111</v>
      </c>
      <c r="P41" s="18">
        <f>'[1]5.3 附表1-能源结构'!O169*P$5</f>
        <v>15.717171343417474</v>
      </c>
      <c r="Q41" s="18">
        <f>'[1]5.3 附表1-能源结构'!P169*Q$5</f>
        <v>16.705774307100004</v>
      </c>
      <c r="R41" s="18">
        <f>'[1]5.3 附表1-能源结构'!Q169*R$5</f>
        <v>17.756557453747284</v>
      </c>
      <c r="S41" s="18">
        <f>'[1]5.3 附表1-能源结构'!R169*S$5</f>
        <v>18.873436662670457</v>
      </c>
      <c r="T41" s="18">
        <f>'[1]5.3 附表1-能源结构'!S169*T$5</f>
        <v>20.0605662997278</v>
      </c>
      <c r="U41" s="18">
        <f>'[1]5.3 附表1-能源结构'!T169*U$5</f>
        <v>21.449607299376094</v>
      </c>
      <c r="V41" s="18">
        <f>'[1]5.3 附表1-能源结构'!U169*V$5</f>
        <v>22.934828779170168</v>
      </c>
      <c r="W41" s="18">
        <f>'[1]5.3 附表1-能源结构'!V169*W$5</f>
        <v>24.522890502762358</v>
      </c>
      <c r="X41" s="18">
        <f>'[1]5.3 附表1-能源结构'!W169*X$5</f>
        <v>26.220913371572646</v>
      </c>
      <c r="Y41" s="18">
        <f>'[1]5.3 附表1-能源结构'!X169*Y$5</f>
        <v>28.036511355057044</v>
      </c>
      <c r="Z41" s="18">
        <f>'[1]5.3 附表1-能源结构'!Y169*Z$5</f>
        <v>29.977825631903141</v>
      </c>
      <c r="AA41" s="18">
        <f>'[1]5.3 附表1-能源结构'!Z169*AA$5</f>
        <v>32.053561095242777</v>
      </c>
      <c r="AB41" s="18">
        <f>'[1]5.3 附表1-能源结构'!AA169*AB$5</f>
        <v>34.273025385571813</v>
      </c>
      <c r="AC41" s="18">
        <f>'[1]5.3 附表1-能源结构'!AB169*AC$5</f>
        <v>36.646170626401435</v>
      </c>
      <c r="AD41" s="18">
        <f>'[1]5.3 附表1-能源结构'!AC169*AD$5</f>
        <v>39.183638049784662</v>
      </c>
      <c r="AE41" s="18">
        <f>'[1]5.3 附表1-能源结构'!AD169*AE$5</f>
        <v>41.896805711819631</v>
      </c>
      <c r="AF41" s="18">
        <f>'[1]5.3 附表1-能源结构'!AE169*AF$5</f>
        <v>44.79783951208708</v>
      </c>
      <c r="AG41" s="18">
        <f>'[1]5.3 附表1-能源结构'!AF169*AG$5</f>
        <v>47.899747745794215</v>
      </c>
      <c r="AH41" s="18">
        <f>'[1]5.3 附表1-能源结构'!AG169*AH$5</f>
        <v>51.216439433237845</v>
      </c>
      <c r="AI41" s="18">
        <f>'[1]5.3 附表1-能源结构'!AH169*AI$5</f>
        <v>58.613304709208101</v>
      </c>
    </row>
    <row r="42" spans="2:35" ht="16" thickTop="1" thickBot="1">
      <c r="B42" s="19"/>
      <c r="C42" s="13" t="s">
        <v>5</v>
      </c>
      <c r="D42" s="14" t="s">
        <v>19</v>
      </c>
      <c r="E42" s="18">
        <f>'[1]5.3 附表1-能源结构'!D170*E$5</f>
        <v>0.53952173583000007</v>
      </c>
      <c r="F42" s="18">
        <f>'[1]5.3 附表1-能源结构'!E170*F$5</f>
        <v>0.57393094359488317</v>
      </c>
      <c r="G42" s="18">
        <f>'[1]5.3 附表1-能源结构'!F170*G$5</f>
        <v>0.63647961336665815</v>
      </c>
      <c r="H42" s="18">
        <f>'[1]5.3 附表1-能源结构'!G170*H$5</f>
        <v>0.70515073061050504</v>
      </c>
      <c r="I42" s="18">
        <f>'[1]5.3 附表1-能源结构'!H170*I$5</f>
        <v>0.76123936320388452</v>
      </c>
      <c r="J42" s="18">
        <f>'[1]5.3 附表1-能源结构'!I170*J$5</f>
        <v>0.82170526502303232</v>
      </c>
      <c r="K42" s="18">
        <f>'[1]5.3 附表1-能源结构'!J170*K$5</f>
        <v>0.89512850732902804</v>
      </c>
      <c r="L42" s="18">
        <f>'[1]5.3 附表1-能源结构'!K170*L$5</f>
        <v>0.97511259863862165</v>
      </c>
      <c r="M42" s="18">
        <f>'[1]5.3 附表1-能源结构'!L170*M$5</f>
        <v>1.0622437160786984</v>
      </c>
      <c r="N42" s="18">
        <f>'[1]5.3 附表1-能源结构'!M170*N$5</f>
        <v>1.0414443397492961</v>
      </c>
      <c r="O42" s="18">
        <f>'[1]5.3 附表1-能源结构'!N170*O$5</f>
        <v>1.0084466958817828</v>
      </c>
      <c r="P42" s="18">
        <f>'[1]5.3 附表1-能源结构'!O170*P$5</f>
        <v>0.82391723145379225</v>
      </c>
      <c r="Q42" s="18">
        <f>'[1]5.3 附表1-能源结构'!P170*Q$5</f>
        <v>0.74794861530790768</v>
      </c>
      <c r="R42" s="18">
        <f>'[1]5.3 附表1-能源结构'!Q170*R$5</f>
        <v>0.81478143359130983</v>
      </c>
      <c r="S42" s="18">
        <f>'[1]5.3 附表1-能源结构'!R170*S$5</f>
        <v>0.88758620122661758</v>
      </c>
      <c r="T42" s="18">
        <f>'[1]5.3 附表1-能源结构'!S170*T$5</f>
        <v>0.96689640004474475</v>
      </c>
      <c r="U42" s="18">
        <f>'[1]5.3 附表1-能源结构'!T170*U$5</f>
        <v>1.0595788981862551</v>
      </c>
      <c r="V42" s="18">
        <f>'[1]5.3 附表1-能源结构'!U170*V$5</f>
        <v>1.1611455388908711</v>
      </c>
      <c r="W42" s="18">
        <f>'[1]5.3 附表1-能源结构'!V170*W$5</f>
        <v>1.2724479175586336</v>
      </c>
      <c r="X42" s="18">
        <f>'[1]5.3 附表1-能源结构'!W170*X$5</f>
        <v>1.3944192598336067</v>
      </c>
      <c r="Y42" s="18">
        <f>'[1]5.3 附表1-能源结构'!X170*Y$5</f>
        <v>1.5280822463252666</v>
      </c>
      <c r="Z42" s="18">
        <f>'[1]5.3 附表1-能源结构'!Y170*Z$5</f>
        <v>1.6745575873737619</v>
      </c>
      <c r="AA42" s="18">
        <f>'[1]5.3 附表1-能源结构'!Z170*AA$5</f>
        <v>1.8350734197550165</v>
      </c>
      <c r="AB42" s="18">
        <f>'[1]5.3 附表1-能源结构'!AA170*AB$5</f>
        <v>2.0109756041132467</v>
      </c>
      <c r="AC42" s="18">
        <f>'[1]5.3 附表1-能源结构'!AB170*AC$5</f>
        <v>2.203739009460731</v>
      </c>
      <c r="AD42" s="18">
        <f>'[1]5.3 附表1-能源结构'!AC170*AD$5</f>
        <v>2.4149798793608221</v>
      </c>
      <c r="AE42" s="18">
        <f>'[1]5.3 附表1-能源结构'!AD170*AE$5</f>
        <v>2.6464693834796571</v>
      </c>
      <c r="AF42" s="18">
        <f>'[1]5.3 附表1-能源结构'!AE170*AF$5</f>
        <v>2.9001484681308849</v>
      </c>
      <c r="AG42" s="18">
        <f>'[1]5.3 附表1-能源结构'!AF170*AG$5</f>
        <v>3.1781441303292404</v>
      </c>
      <c r="AH42" s="18">
        <f>'[1]5.3 附表1-能源结构'!AG170*AH$5</f>
        <v>3.482787251804365</v>
      </c>
      <c r="AI42" s="18">
        <f>'[1]5.3 附表1-能源结构'!AH170*AI$5</f>
        <v>4.1866646220862922</v>
      </c>
    </row>
    <row r="43" spans="2:35" ht="16" thickTop="1" thickBot="1">
      <c r="B43" s="19"/>
      <c r="C43" s="13" t="s">
        <v>5</v>
      </c>
      <c r="D43" s="20" t="s">
        <v>20</v>
      </c>
      <c r="E43" s="18">
        <f>'[1]5.3 附表1-能源结构'!D171*E$5</f>
        <v>43.161738866400007</v>
      </c>
      <c r="F43" s="18">
        <f>'[1]5.3 附表1-能源结构'!E171*F$5</f>
        <v>46.089257195510207</v>
      </c>
      <c r="G43" s="18">
        <f>'[1]5.3 附表1-能源结构'!F171*G$5</f>
        <v>51.306766775229065</v>
      </c>
      <c r="H43" s="18">
        <f>'[1]5.3 附表1-能源结构'!G171*H$5</f>
        <v>57.058741865973666</v>
      </c>
      <c r="I43" s="18">
        <f>'[1]5.3 附表1-能源结构'!H171*I$5</f>
        <v>61.831751625269966</v>
      </c>
      <c r="J43" s="18">
        <f>'[1]5.3 附表1-能源结构'!I171*J$5</f>
        <v>66.997170817834188</v>
      </c>
      <c r="K43" s="18">
        <f>'[1]5.3 附表1-能源结构'!J171*K$5</f>
        <v>73.261509647399862</v>
      </c>
      <c r="L43" s="18">
        <f>'[1]5.3 附表1-能源结构'!K171*L$5</f>
        <v>80.111584985585495</v>
      </c>
      <c r="M43" s="18">
        <f>'[1]5.3 附表1-能源结构'!L171*M$5</f>
        <v>87.602158767494231</v>
      </c>
      <c r="N43" s="18">
        <f>'[1]5.3 附表1-能源结构'!M171*N$5</f>
        <v>95.793110131876915</v>
      </c>
      <c r="O43" s="18">
        <f>'[1]5.3 附表1-能源结构'!N171*O$5</f>
        <v>104.74993473869867</v>
      </c>
      <c r="P43" s="18">
        <f>'[1]5.3 附表1-能源结构'!O171*P$5</f>
        <v>114.54423009594325</v>
      </c>
      <c r="Q43" s="18">
        <f>'[1]5.3 附表1-能源结构'!P171*Q$5</f>
        <v>125.25432232011475</v>
      </c>
      <c r="R43" s="18">
        <f>'[1]5.3 附表1-能源结构'!Q171*R$5</f>
        <v>136.96580824208158</v>
      </c>
      <c r="S43" s="18">
        <f>'[1]5.3 附表1-能源结构'!R171*S$5</f>
        <v>149.77235675530798</v>
      </c>
      <c r="T43" s="18">
        <f>'[1]5.3 附表1-能源结构'!S171*T$5</f>
        <v>163.77633434096006</v>
      </c>
      <c r="U43" s="18">
        <f>'[1]5.3 附表1-能源结构'!T171*U$5</f>
        <v>180.15842861948286</v>
      </c>
      <c r="V43" s="18">
        <f>'[1]5.3 附表1-能源结构'!U171*V$5</f>
        <v>198.17917853180253</v>
      </c>
      <c r="W43" s="18">
        <f>'[1]5.3 附表1-能源结构'!V171*W$5</f>
        <v>218.00249427404671</v>
      </c>
      <c r="X43" s="18">
        <f>'[1]5.3 附表1-能源结构'!W171*X$5</f>
        <v>239.80868152644624</v>
      </c>
      <c r="Y43" s="18">
        <f>'[1]5.3 附表1-能源结构'!X171*Y$5</f>
        <v>263.79608144831627</v>
      </c>
      <c r="Z43" s="18">
        <f>'[1]5.3 附表1-能源结构'!Y171*Z$5</f>
        <v>290.18287471720424</v>
      </c>
      <c r="AA43" s="18">
        <f>'[1]5.3 附表1-能源结构'!Z171*AA$5</f>
        <v>319.2090660210909</v>
      </c>
      <c r="AB43" s="18">
        <f>'[1]5.3 附表1-能源结构'!AA171*AB$5</f>
        <v>351.13866705386289</v>
      </c>
      <c r="AC43" s="18">
        <f>'[1]5.3 附表1-能源结构'!AB171*AC$5</f>
        <v>386.26209786979217</v>
      </c>
      <c r="AD43" s="18">
        <f>'[1]5.3 附表1-能源结构'!AC171*AD$5</f>
        <v>424.89882843887034</v>
      </c>
      <c r="AE43" s="18">
        <f>'[1]5.3 附表1-能源结构'!AD171*AE$5</f>
        <v>467.40028442962523</v>
      </c>
      <c r="AF43" s="18">
        <f>'[1]5.3 附表1-能源结构'!AE171*AF$5</f>
        <v>514.15304364936503</v>
      </c>
      <c r="AG43" s="18">
        <f>'[1]5.3 附表1-能源结构'!AF171*AG$5</f>
        <v>565.58235221551001</v>
      </c>
      <c r="AH43" s="18">
        <f>'[1]5.3 附表1-能源结构'!AG171*AH$5</f>
        <v>622.15599243982842</v>
      </c>
      <c r="AI43" s="18">
        <f>'[1]5.3 附表1-能源结构'!AH171*AI$5</f>
        <v>753.5996319755327</v>
      </c>
    </row>
    <row r="44" spans="2:35" ht="14.25" customHeight="1" thickTop="1" thickBot="1">
      <c r="B44" s="19"/>
    </row>
    <row r="45" spans="2:35" ht="16" thickTop="1" thickBot="1">
      <c r="B45" s="19"/>
      <c r="C45" s="13" t="s">
        <v>9</v>
      </c>
      <c r="D45" s="14" t="s">
        <v>15</v>
      </c>
      <c r="E45" s="18">
        <f>'[1]5.3 附表1-能源结构'!D179*E$8</f>
        <v>1.0790434716600001</v>
      </c>
      <c r="F45" s="18">
        <f>'[1]5.3 附表1-能源结构'!E179*F$8</f>
        <v>1.1825115307195917</v>
      </c>
      <c r="G45" s="18">
        <f>'[1]5.3 附表1-能源结构'!F179*G$8</f>
        <v>1.3496715021678021</v>
      </c>
      <c r="H45" s="18">
        <f>'[1]5.3 附表1-能源结构'!G179*H$8</f>
        <v>1.5390148366643168</v>
      </c>
      <c r="I45" s="18">
        <f>'[1]5.3 附表1-能源结构'!H179*I$8</f>
        <v>1.7101019931449546</v>
      </c>
      <c r="J45" s="18">
        <f>'[1]5.3 附表1-能源结构'!I179*J$8</f>
        <v>1.9001344003432288</v>
      </c>
      <c r="K45" s="18">
        <f>'[1]5.3 附表1-能源结构'!J179*K$8</f>
        <v>2.1287221164086838</v>
      </c>
      <c r="L45" s="18">
        <f>'[1]5.3 附表1-能源结构'!K179*L$8</f>
        <v>2.3850230742076697</v>
      </c>
      <c r="M45" s="18">
        <f>'[1]5.3 附表1-能源结构'!L179*M$8</f>
        <v>2.6724687323925567</v>
      </c>
      <c r="N45" s="18">
        <f>'[1]5.3 附表1-能源结构'!M179*N$8</f>
        <v>2.9949392056562574</v>
      </c>
      <c r="O45" s="18">
        <f>'[1]5.3 附表1-能源结构'!N179*O$8</f>
        <v>3.3568296542403835</v>
      </c>
      <c r="P45" s="18">
        <f>'[1]5.3 附表1-能源结构'!O179*P$8</f>
        <v>3.7631288769364648</v>
      </c>
      <c r="Q45" s="18">
        <f>'[1]5.3 附表1-能源结构'!P179*Q$8</f>
        <v>4.2195129981322959</v>
      </c>
      <c r="R45" s="18">
        <f>'[1]5.3 附表1-能源结构'!Q179*R$8</f>
        <v>4.7324579658877743</v>
      </c>
      <c r="S45" s="18">
        <f>'[1]5.3 附表1-能源结构'!R179*S$8</f>
        <v>5.3093756648346924</v>
      </c>
      <c r="T45" s="18">
        <f>'[1]5.3 附表1-能源结构'!S179*T$8</f>
        <v>5.9587798803104537</v>
      </c>
      <c r="U45" s="18">
        <f>'[1]5.3 附表1-能源结构'!T179*U$8</f>
        <v>6.6904902424458239</v>
      </c>
      <c r="V45" s="18">
        <f>'[1]5.3 附表1-能源结构'!U179*V$8</f>
        <v>7.5158847828178299</v>
      </c>
      <c r="W45" s="18">
        <f>'[1]5.3 附表1-能源结构'!V179*W$8</f>
        <v>8.4482150543709444</v>
      </c>
      <c r="X45" s="18">
        <f>'[1]5.3 附表1-能源结构'!W179*X$8</f>
        <v>9.5030021679700116</v>
      </c>
      <c r="Y45" s="18">
        <f>'[1]5.3 附表1-能源结构'!X179*Y$8</f>
        <v>10.698537947017872</v>
      </c>
      <c r="Z45" s="18">
        <f>'[1]5.3 附表1-能源结构'!Y179*Z$8</f>
        <v>12.056523176724621</v>
      </c>
      <c r="AA45" s="18">
        <f>'[1]5.3 附表1-能源结构'!Z179*AA$8</f>
        <v>13.602885269919119</v>
      </c>
      <c r="AB45" s="18">
        <f>'[1]5.3 附表1-能源结构'!AA179*AB$8</f>
        <v>15.368831445386231</v>
      </c>
      <c r="AC45" s="18">
        <f>'[1]5.3 附表1-能源结构'!AB179*AC$8</f>
        <v>17.392211864191808</v>
      </c>
      <c r="AD45" s="18">
        <f>'[1]5.3 附表1-能源结构'!AC179*AD$8</f>
        <v>19.719291625578972</v>
      </c>
      <c r="AE45" s="18">
        <f>'[1]5.3 附表1-能源结构'!AD179*AE$8</f>
        <v>22.40706313189872</v>
      </c>
      <c r="AF45" s="18">
        <f>'[1]5.3 附表1-能源结构'!AE179*AF$8</f>
        <v>25.526273823251472</v>
      </c>
      <c r="AG45" s="18">
        <f>'[1]5.3 附表1-能源结构'!AF179*AG$8</f>
        <v>29.165402305707389</v>
      </c>
      <c r="AH45" s="18">
        <f>'[1]5.3 附表1-能源结构'!AG179*AH$8</f>
        <v>33.435893325946765</v>
      </c>
      <c r="AI45" s="18">
        <f>'[1]5.3 附表1-能源结构'!AH179*AI$8</f>
        <v>0</v>
      </c>
    </row>
    <row r="46" spans="2:35" ht="16" thickTop="1" thickBot="1">
      <c r="B46" s="19"/>
      <c r="C46" s="13" t="s">
        <v>9</v>
      </c>
      <c r="D46" s="14" t="s">
        <v>16</v>
      </c>
      <c r="E46" s="18">
        <f>'[1]5.3 附表1-能源结构'!D180*E$8</f>
        <v>1.079043471660001</v>
      </c>
      <c r="F46" s="18">
        <f>'[1]5.3 附表1-能源结构'!E180*F$8</f>
        <v>1.1307955590143024</v>
      </c>
      <c r="G46" s="18">
        <f>'[1]5.3 附表1-能源结构'!F180*G$8</f>
        <v>1.2341998745180094</v>
      </c>
      <c r="H46" s="18">
        <f>'[1]5.3 附表1-能源结构'!G180*H$8</f>
        <v>1.3457950806763546</v>
      </c>
      <c r="I46" s="18">
        <f>'[1]5.3 附表1-能源结构'!H180*I$8</f>
        <v>1.4300026852860617</v>
      </c>
      <c r="J46" s="18">
        <f>'[1]5.3 附表1-能源结构'!I180*J$8</f>
        <v>1.519420110774232</v>
      </c>
      <c r="K46" s="18">
        <f>'[1]5.3 附表1-能源结构'!J180*K$8</f>
        <v>1.6277632231836003</v>
      </c>
      <c r="L46" s="18">
        <f>'[1]5.3 附表1-能源结构'!K180*L$8</f>
        <v>1.7439882506269169</v>
      </c>
      <c r="M46" s="18">
        <f>'[1]5.3 附表1-能源结构'!L180*M$8</f>
        <v>1.868711732909297</v>
      </c>
      <c r="N46" s="18">
        <f>'[1]5.3 附表1-能源结构'!M180*N$8</f>
        <v>2.0026100931362416</v>
      </c>
      <c r="O46" s="18">
        <f>'[1]5.3 附表1-能源结构'!N180*O$8</f>
        <v>2.146428383619388</v>
      </c>
      <c r="P46" s="18">
        <f>'[1]5.3 附表1-能源结构'!O180*P$8</f>
        <v>2.3009909020798727</v>
      </c>
      <c r="Q46" s="18">
        <f>'[1]5.3 附表1-能源结构'!P180*Q$8</f>
        <v>2.4672141579276241</v>
      </c>
      <c r="R46" s="18">
        <f>'[1]5.3 附表1-能源结构'!Q180*R$8</f>
        <v>2.6461227988079252</v>
      </c>
      <c r="S46" s="18">
        <f>'[1]5.3 附表1-能源结构'!R180*S$8</f>
        <v>2.8388692740307455</v>
      </c>
      <c r="T46" s="18">
        <f>'[1]5.3 附表1-能源结构'!S180*T$8</f>
        <v>3.0467582239181179</v>
      </c>
      <c r="U46" s="18">
        <f>'[1]5.3 附表1-能源结构'!T180*U$8</f>
        <v>3.271276855275925</v>
      </c>
      <c r="V46" s="18">
        <f>'[1]5.3 附表1-能源结构'!U180*V$8</f>
        <v>3.5141329094150375</v>
      </c>
      <c r="W46" s="18">
        <f>'[1]5.3 附表1-能源结构'!V180*W$8</f>
        <v>3.7773022712326703</v>
      </c>
      <c r="X46" s="18">
        <f>'[1]5.3 附表1-能源结构'!W180*X$8</f>
        <v>4.0630888324171615</v>
      </c>
      <c r="Y46" s="18">
        <f>'[1]5.3 附表1-能源结构'!X180*Y$8</f>
        <v>4.3741999428412024</v>
      </c>
      <c r="Z46" s="18">
        <f>'[1]5.3 附表1-能源结构'!Y180*Z$8</f>
        <v>4.7138417050771686</v>
      </c>
      <c r="AA46" s="18">
        <f>'[1]5.3 附表1-能源结构'!Z180*AA$8</f>
        <v>5.0858395431737788</v>
      </c>
      <c r="AB46" s="18">
        <f>'[1]5.3 附表1-能源结构'!AA180*AB$8</f>
        <v>5.494790979246222</v>
      </c>
      <c r="AC46" s="18">
        <f>'[1]5.3 附表1-能源结构'!AB180*AC$8</f>
        <v>5.9462594705977425</v>
      </c>
      <c r="AD46" s="18">
        <f>'[1]5.3 附表1-能源结构'!AC180*AD$8</f>
        <v>6.4470206116930928</v>
      </c>
      <c r="AE46" s="18">
        <f>'[1]5.3 附表1-能源结构'!AD180*AE$8</f>
        <v>7.0053751371449584</v>
      </c>
      <c r="AF46" s="18">
        <f>'[1]5.3 附表1-能源结构'!AE180*AF$8</f>
        <v>7.6315471627897642</v>
      </c>
      <c r="AG46" s="18">
        <f>'[1]5.3 附表1-能源结构'!AF180*AG$8</f>
        <v>8.3381912131840288</v>
      </c>
      <c r="AH46" s="18">
        <f>'[1]5.3 附表1-能源结构'!AG180*AH$8</f>
        <v>9.1410381136962648</v>
      </c>
      <c r="AI46" s="18">
        <f>'[1]5.3 附表1-能源结构'!AH180*AI$8</f>
        <v>21.82729928721557</v>
      </c>
    </row>
    <row r="47" spans="2:35" ht="16" thickTop="1" thickBot="1">
      <c r="B47" s="19"/>
      <c r="C47" s="13" t="s">
        <v>9</v>
      </c>
      <c r="D47" s="14" t="s">
        <v>17</v>
      </c>
      <c r="E47" s="18">
        <f>'[1]5.3 附表1-能源结构'!D181*E$8</f>
        <v>0</v>
      </c>
      <c r="F47" s="18">
        <f>'[1]5.3 附表1-能源结构'!E181*F$8</f>
        <v>0</v>
      </c>
      <c r="G47" s="18">
        <f>'[1]5.3 附表1-能源结构'!F181*G$8</f>
        <v>0</v>
      </c>
      <c r="H47" s="18">
        <f>'[1]5.3 附表1-能源结构'!G181*H$8</f>
        <v>0</v>
      </c>
      <c r="I47" s="18">
        <f>'[1]5.3 附表1-能源结构'!H181*I$8</f>
        <v>0</v>
      </c>
      <c r="J47" s="18">
        <f>'[1]5.3 附表1-能源结构'!I181*J$8</f>
        <v>0</v>
      </c>
      <c r="K47" s="18">
        <f>'[1]5.3 附表1-能源结构'!J181*K$8</f>
        <v>0</v>
      </c>
      <c r="L47" s="18">
        <f>'[1]5.3 附表1-能源结构'!K181*L$8</f>
        <v>0</v>
      </c>
      <c r="M47" s="18">
        <f>'[1]5.3 附表1-能源结构'!L181*M$8</f>
        <v>0</v>
      </c>
      <c r="N47" s="18">
        <f>'[1]5.3 附表1-能源结构'!M181*N$8</f>
        <v>0</v>
      </c>
      <c r="O47" s="18">
        <f>'[1]5.3 附表1-能源结构'!N181*O$8</f>
        <v>0</v>
      </c>
      <c r="P47" s="18">
        <f>'[1]5.3 附表1-能源结构'!O181*P$8</f>
        <v>0</v>
      </c>
      <c r="Q47" s="18">
        <f>'[1]5.3 附表1-能源结构'!P181*Q$8</f>
        <v>0</v>
      </c>
      <c r="R47" s="18">
        <f>'[1]5.3 附表1-能源结构'!Q181*R$8</f>
        <v>0</v>
      </c>
      <c r="S47" s="18">
        <f>'[1]5.3 附表1-能源结构'!R181*S$8</f>
        <v>0</v>
      </c>
      <c r="T47" s="18">
        <f>'[1]5.3 附表1-能源结构'!S181*T$8</f>
        <v>0</v>
      </c>
      <c r="U47" s="18">
        <f>'[1]5.3 附表1-能源结构'!T181*U$8</f>
        <v>0</v>
      </c>
      <c r="V47" s="18">
        <f>'[1]5.3 附表1-能源结构'!U181*V$8</f>
        <v>0</v>
      </c>
      <c r="W47" s="18">
        <f>'[1]5.3 附表1-能源结构'!V181*W$8</f>
        <v>0</v>
      </c>
      <c r="X47" s="18">
        <f>'[1]5.3 附表1-能源结构'!W181*X$8</f>
        <v>0</v>
      </c>
      <c r="Y47" s="18">
        <f>'[1]5.3 附表1-能源结构'!X181*Y$8</f>
        <v>0</v>
      </c>
      <c r="Z47" s="18">
        <f>'[1]5.3 附表1-能源结构'!Y181*Z$8</f>
        <v>0</v>
      </c>
      <c r="AA47" s="18">
        <f>'[1]5.3 附表1-能源结构'!Z181*AA$8</f>
        <v>0</v>
      </c>
      <c r="AB47" s="18">
        <f>'[1]5.3 附表1-能源结构'!AA181*AB$8</f>
        <v>0</v>
      </c>
      <c r="AC47" s="18">
        <f>'[1]5.3 附表1-能源结构'!AB181*AC$8</f>
        <v>0</v>
      </c>
      <c r="AD47" s="18">
        <f>'[1]5.3 附表1-能源结构'!AC181*AD$8</f>
        <v>0</v>
      </c>
      <c r="AE47" s="18">
        <f>'[1]5.3 附表1-能源结构'!AD181*AE$8</f>
        <v>0</v>
      </c>
      <c r="AF47" s="18">
        <f>'[1]5.3 附表1-能源结构'!AE181*AF$8</f>
        <v>0</v>
      </c>
      <c r="AG47" s="18">
        <f>'[1]5.3 附表1-能源结构'!AF181*AG$8</f>
        <v>0</v>
      </c>
      <c r="AH47" s="18">
        <f>'[1]5.3 附表1-能源结构'!AG181*AH$8</f>
        <v>0</v>
      </c>
      <c r="AI47" s="18">
        <f>'[1]5.3 附表1-能源结构'!AH181*AI$8</f>
        <v>0</v>
      </c>
    </row>
    <row r="48" spans="2:35" ht="16" thickTop="1" thickBot="1">
      <c r="B48" s="19"/>
      <c r="C48" s="13" t="s">
        <v>9</v>
      </c>
      <c r="D48" s="14" t="s">
        <v>18</v>
      </c>
      <c r="E48" s="18">
        <f>'[1]5.3 附表1-能源结构'!D182*E$8</f>
        <v>8.092826037450001</v>
      </c>
      <c r="F48" s="18">
        <f>'[1]5.3 附表1-能源结构'!E182*F$8</f>
        <v>8.486571451512491</v>
      </c>
      <c r="G48" s="18">
        <f>'[1]5.3 附表1-能源结构'!F182*G$8</f>
        <v>9.2687376610047387</v>
      </c>
      <c r="H48" s="18">
        <f>'[1]5.3 附表1-能源结构'!G182*H$8</f>
        <v>10.113487528048983</v>
      </c>
      <c r="I48" s="18">
        <f>'[1]5.3 附表1-能源结构'!H182*I$8</f>
        <v>10.753399341426771</v>
      </c>
      <c r="J48" s="18">
        <f>'[1]5.3 附表1-能源结构'!I182*J$8</f>
        <v>11.433355465256293</v>
      </c>
      <c r="K48" s="18">
        <f>'[1]5.3 附表1-能源结构'!J182*K$8</f>
        <v>12.256712019295163</v>
      </c>
      <c r="L48" s="18">
        <f>'[1]5.3 附表1-能源结构'!K182*L$8</f>
        <v>13.140540203121599</v>
      </c>
      <c r="M48" s="18">
        <f>'[1]5.3 附表1-能源结构'!L182*M$8</f>
        <v>14.08960738375171</v>
      </c>
      <c r="N48" s="18">
        <f>'[1]5.3 附表1-能源结构'!M182*N$8</f>
        <v>15.109145176113064</v>
      </c>
      <c r="O48" s="18">
        <f>'[1]5.3 附表1-能源结构'!N182*O$8</f>
        <v>16.204916985492382</v>
      </c>
      <c r="P48" s="18">
        <f>'[1]5.3 附表1-能源结构'!O182*P$8</f>
        <v>17.383299944327735</v>
      </c>
      <c r="Q48" s="18">
        <f>'[1]5.3 附表1-能源结构'!P182*Q$8</f>
        <v>18.651384936296775</v>
      </c>
      <c r="R48" s="18">
        <f>'[1]5.3 附表1-能源结构'!Q182*R$8</f>
        <v>20.017099406535891</v>
      </c>
      <c r="S48" s="18">
        <f>'[1]5.3 附表1-能源结构'!R182*S$8</f>
        <v>21.489358941226932</v>
      </c>
      <c r="T48" s="18">
        <f>'[1]5.3 附表1-能源结构'!S182*T$8</f>
        <v>23.078255240158207</v>
      </c>
      <c r="U48" s="18">
        <f>'[1]5.3 附表1-能源结构'!T182*U$8</f>
        <v>24.795290201216908</v>
      </c>
      <c r="V48" s="18">
        <f>'[1]5.3 附表1-能源结构'!U182*V$8</f>
        <v>26.653668512677136</v>
      </c>
      <c r="W48" s="18">
        <f>'[1]5.3 附表1-能源结构'!V182*W$8</f>
        <v>28.668664569430813</v>
      </c>
      <c r="X48" s="18">
        <f>'[1]5.3 附表1-能源结构'!W182*X$8</f>
        <v>30.858083899840992</v>
      </c>
      <c r="Y48" s="18">
        <f>'[1]5.3 附表1-能源结构'!X182*Y$8</f>
        <v>33.242844875154788</v>
      </c>
      <c r="Z48" s="18">
        <f>'[1]5.3 附表1-能源结构'!Y182*Z$8</f>
        <v>35.847713611517229</v>
      </c>
      <c r="AA48" s="18">
        <f>'[1]5.3 附表1-能源结构'!Z182*AA$8</f>
        <v>38.702234097848375</v>
      </c>
      <c r="AB48" s="18">
        <f>'[1]5.3 附表1-能源结构'!AA182*AB$8</f>
        <v>41.841907243828892</v>
      </c>
      <c r="AC48" s="18">
        <f>'[1]5.3 附表1-能源结构'!AB182*AC$8</f>
        <v>45.309687447522705</v>
      </c>
      <c r="AD48" s="18">
        <f>'[1]5.3 附表1-能源结构'!AC182*AD$8</f>
        <v>49.157884335037792</v>
      </c>
      <c r="AE48" s="18">
        <f>'[1]5.3 附表1-能源结构'!AD182*AE$8</f>
        <v>53.450581679923971</v>
      </c>
      <c r="AF48" s="18">
        <f>'[1]5.3 附表1-能源结构'!AE182*AF$8</f>
        <v>58.266716644162322</v>
      </c>
      <c r="AG48" s="18">
        <f>'[1]5.3 附表1-能源结构'!AF182*AG$8</f>
        <v>63.704002283206208</v>
      </c>
      <c r="AH48" s="18">
        <f>'[1]5.3 附表1-能源结构'!AG182*AH$8</f>
        <v>69.883927137847323</v>
      </c>
      <c r="AI48" s="18">
        <f>'[1]5.3 附表1-能源结构'!AH182*AI$8</f>
        <v>87.309197148862282</v>
      </c>
    </row>
    <row r="49" spans="2:35" ht="16" thickTop="1" thickBot="1">
      <c r="B49" s="19"/>
      <c r="C49" s="13" t="s">
        <v>9</v>
      </c>
      <c r="D49" s="14" t="s">
        <v>19</v>
      </c>
      <c r="E49" s="18">
        <f>'[1]5.3 附表1-能源结构'!D183*E$8</f>
        <v>0.53952173583000007</v>
      </c>
      <c r="F49" s="18">
        <f>'[1]5.3 附表1-能源结构'!E183*F$8</f>
        <v>0.59125576535979585</v>
      </c>
      <c r="G49" s="18">
        <f>'[1]5.3 附表1-能源结构'!F183*G$8</f>
        <v>0.67483575108390104</v>
      </c>
      <c r="H49" s="18">
        <f>'[1]5.3 附表1-能源结构'!G183*H$8</f>
        <v>0.76950741833215841</v>
      </c>
      <c r="I49" s="18">
        <f>'[1]5.3 附表1-能源结构'!H183*I$8</f>
        <v>0.8550509965724773</v>
      </c>
      <c r="J49" s="18">
        <f>'[1]5.3 附表1-能源结构'!I183*J$8</f>
        <v>0.95006720017161439</v>
      </c>
      <c r="K49" s="18">
        <f>'[1]5.3 附表1-能源结构'!J183*K$8</f>
        <v>1.0643610582043419</v>
      </c>
      <c r="L49" s="18">
        <f>'[1]5.3 附表1-能源结构'!K183*L$8</f>
        <v>1.1925115371038348</v>
      </c>
      <c r="M49" s="18">
        <f>'[1]5.3 附表1-能源结构'!L183*M$8</f>
        <v>1.3362343661962783</v>
      </c>
      <c r="N49" s="18">
        <f>'[1]5.3 附表1-能源结构'!M183*N$8</f>
        <v>1.4974696028281287</v>
      </c>
      <c r="O49" s="18">
        <f>'[1]5.3 附表1-能源结构'!N183*O$8</f>
        <v>1.6784148271201917</v>
      </c>
      <c r="P49" s="18">
        <f>'[1]5.3 附表1-能源结构'!O183*P$8</f>
        <v>1.8815644384682324</v>
      </c>
      <c r="Q49" s="18">
        <f>'[1]5.3 附表1-能源结构'!P183*Q$8</f>
        <v>2.1097564990661479</v>
      </c>
      <c r="R49" s="18">
        <f>'[1]5.3 附表1-能源结构'!Q183*R$8</f>
        <v>2.3662289829438872</v>
      </c>
      <c r="S49" s="18">
        <f>'[1]5.3 附表1-能源结构'!R183*S$8</f>
        <v>2.6546878324173462</v>
      </c>
      <c r="T49" s="18">
        <f>'[1]5.3 附表1-能源结构'!S183*T$8</f>
        <v>2.9793899401552268</v>
      </c>
      <c r="U49" s="18">
        <f>'[1]5.3 附表1-能源结构'!T183*U$8</f>
        <v>3.345245121222912</v>
      </c>
      <c r="V49" s="18">
        <f>'[1]5.3 附表1-能源结构'!U183*V$8</f>
        <v>3.757942391408915</v>
      </c>
      <c r="W49" s="18">
        <f>'[1]5.3 附表1-能源结构'!V183*W$8</f>
        <v>4.2241075271854722</v>
      </c>
      <c r="X49" s="18">
        <f>'[1]5.3 附表1-能源结构'!W183*X$8</f>
        <v>4.7515010839850058</v>
      </c>
      <c r="Y49" s="18">
        <f>'[1]5.3 附表1-能源结构'!X183*Y$8</f>
        <v>5.349268973508936</v>
      </c>
      <c r="Z49" s="18">
        <f>'[1]5.3 附表1-能源结构'!Y183*Z$8</f>
        <v>6.0282615883623105</v>
      </c>
      <c r="AA49" s="18">
        <f>'[1]5.3 附表1-能源结构'!Z183*AA$8</f>
        <v>6.8014426349595594</v>
      </c>
      <c r="AB49" s="18">
        <f>'[1]5.3 附表1-能源结构'!AA183*AB$8</f>
        <v>7.6844157226931156</v>
      </c>
      <c r="AC49" s="18">
        <f>'[1]5.3 附表1-能源结构'!AB183*AC$8</f>
        <v>8.6961059320959038</v>
      </c>
      <c r="AD49" s="18">
        <f>'[1]5.3 附表1-能源结构'!AC183*AD$8</f>
        <v>9.8596458127894859</v>
      </c>
      <c r="AE49" s="18">
        <f>'[1]5.3 附表1-能源结构'!AD183*AE$8</f>
        <v>11.20353156594936</v>
      </c>
      <c r="AF49" s="18">
        <f>'[1]5.3 附表1-能源结构'!AE183*AF$8</f>
        <v>12.763136911625736</v>
      </c>
      <c r="AG49" s="18">
        <f>'[1]5.3 附表1-能源结构'!AF183*AG$8</f>
        <v>14.582701152853694</v>
      </c>
      <c r="AH49" s="18">
        <f>'[1]5.3 附表1-能源结构'!AG183*AH$8</f>
        <v>16.717946662973382</v>
      </c>
      <c r="AI49" s="18">
        <f>'[1]5.3 附表1-能源结构'!AH183*AI$8</f>
        <v>0</v>
      </c>
    </row>
    <row r="50" spans="2:35" ht="16" thickTop="1" thickBot="1">
      <c r="B50" s="19"/>
      <c r="C50" s="13" t="s">
        <v>9</v>
      </c>
      <c r="D50" s="20" t="s">
        <v>20</v>
      </c>
      <c r="E50" s="18">
        <f>'[1]5.3 附表1-能源结构'!D184*E$8</f>
        <v>43.161738866400007</v>
      </c>
      <c r="F50" s="18">
        <f>'[1]5.3 附表1-能源结构'!E184*F$8</f>
        <v>47.563402156960457</v>
      </c>
      <c r="G50" s="18">
        <f>'[1]5.3 附表1-能源结构'!F184*G$8</f>
        <v>54.588748963469676</v>
      </c>
      <c r="H50" s="18">
        <f>'[1]5.3 附表1-能源结构'!G184*H$8</f>
        <v>62.592947962684406</v>
      </c>
      <c r="I50" s="18">
        <f>'[1]5.3 附表1-能源结构'!H184*I$8</f>
        <v>69.937829307920168</v>
      </c>
      <c r="J50" s="18">
        <f>'[1]5.3 附表1-能源结构'!I184*J$8</f>
        <v>78.141544730209375</v>
      </c>
      <c r="K50" s="18">
        <f>'[1]5.3 附表1-能源结构'!J184*K$8</f>
        <v>88.028678065662007</v>
      </c>
      <c r="L50" s="18">
        <f>'[1]5.3 附表1-能源结构'!K184*L$8</f>
        <v>99.175712421472227</v>
      </c>
      <c r="M50" s="18">
        <f>'[1]5.3 附表1-能源结构'!L184*M$8</f>
        <v>111.74623834707583</v>
      </c>
      <c r="N50" s="18">
        <f>'[1]5.3 附表1-能源结构'!M184*N$8</f>
        <v>125.92612140575552</v>
      </c>
      <c r="O50" s="18">
        <f>'[1]5.3 附表1-能源结构'!N184*O$8</f>
        <v>141.92687981882321</v>
      </c>
      <c r="P50" s="18">
        <f>'[1]5.3 附表1-能源结构'!O184*P$8</f>
        <v>159.98968381828595</v>
      </c>
      <c r="Q50" s="18">
        <f>'[1]5.3 附表1-能源结构'!P184*Q$8</f>
        <v>180.39012241220007</v>
      </c>
      <c r="R50" s="18">
        <f>'[1]5.3 附表1-能源结构'!Q184*R$8</f>
        <v>203.44392476728169</v>
      </c>
      <c r="S50" s="18">
        <f>'[1]5.3 附表1-能源结构'!R184*S$8</f>
        <v>229.51387809210058</v>
      </c>
      <c r="T50" s="18">
        <f>'[1]5.3 附表1-能源结构'!S184*T$8</f>
        <v>259.01825615248595</v>
      </c>
      <c r="U50" s="18">
        <f>'[1]5.3 附表1-能源结构'!T184*U$8</f>
        <v>292.44116825107415</v>
      </c>
      <c r="V50" s="18">
        <f>'[1]5.3 附表1-能源结构'!U184*V$8</f>
        <v>330.34536553908976</v>
      </c>
      <c r="W50" s="18">
        <f>'[1]5.3 附表1-能源结构'!V184*W$8</f>
        <v>373.38821047085355</v>
      </c>
      <c r="X50" s="18">
        <f>'[1]5.3 附表1-能源结构'!W184*X$8</f>
        <v>422.34174023711387</v>
      </c>
      <c r="Y50" s="18">
        <f>'[1]5.3 附表1-能源结构'!X184*Y$8</f>
        <v>478.11805514151268</v>
      </c>
      <c r="Z50" s="18">
        <f>'[1]5.3 附表1-能源结构'!Y184*Z$8</f>
        <v>541.80166363712374</v>
      </c>
      <c r="AA50" s="18">
        <f>'[1]5.3 附表1-能源结构'!Z184*AA$8</f>
        <v>614.69095137094359</v>
      </c>
      <c r="AB50" s="18">
        <f>'[1]5.3 附表1-能源结构'!AA184*AB$8</f>
        <v>698.35165807470457</v>
      </c>
      <c r="AC50" s="18">
        <f>'[1]5.3 附表1-能源结构'!AB184*AC$8</f>
        <v>794.68620522243089</v>
      </c>
      <c r="AD50" s="18">
        <f>'[1]5.3 附表1-能源结构'!AC184*AD$8</f>
        <v>906.02400193656376</v>
      </c>
      <c r="AE50" s="18">
        <f>'[1]5.3 附表1-能源结构'!AD184*AE$8</f>
        <v>1035.2395779697708</v>
      </c>
      <c r="AF50" s="18">
        <f>'[1]5.3 附表1-能源结构'!AE184*AF$8</f>
        <v>1185.9077001943635</v>
      </c>
      <c r="AG50" s="18">
        <f>'[1]5.3 附表1-能源结构'!AF184*AG$8</f>
        <v>1362.5077236464479</v>
      </c>
      <c r="AH50" s="18">
        <f>'[1]5.3 附表1-能源结构'!AG184*AH$8</f>
        <v>1570.6935794283961</v>
      </c>
      <c r="AI50" s="18">
        <f>'[1]5.3 附表1-能源结构'!AH184*AI$8</f>
        <v>2073.5934322854791</v>
      </c>
    </row>
    <row r="51" spans="2:35" ht="14.25" customHeight="1" thickTop="1" thickBot="1">
      <c r="B51" s="19"/>
    </row>
    <row r="52" spans="2:35" ht="16" thickTop="1" thickBot="1">
      <c r="B52" s="19"/>
      <c r="C52" s="13" t="s">
        <v>11</v>
      </c>
      <c r="D52" s="14" t="s">
        <v>15</v>
      </c>
      <c r="E52" s="18">
        <f>'[1]5.3 附表1-能源结构'!D192*E$11</f>
        <v>1.0790434716600001</v>
      </c>
      <c r="F52" s="18">
        <f>'[1]5.3 附表1-能源结构'!E192*F$11</f>
        <v>0</v>
      </c>
      <c r="G52" s="18">
        <f>'[1]5.3 附表1-能源结构'!F192*G$11</f>
        <v>0</v>
      </c>
      <c r="H52" s="18">
        <f>'[1]5.3 附表1-能源结构'!G192*H$11</f>
        <v>0</v>
      </c>
      <c r="I52" s="18">
        <f>'[1]5.3 附表1-能源结构'!H192*I$11</f>
        <v>0</v>
      </c>
      <c r="J52" s="18">
        <f>'[1]5.3 附表1-能源结构'!I192*J$11</f>
        <v>0</v>
      </c>
      <c r="K52" s="18">
        <f>'[1]5.3 附表1-能源结构'!J192*K$11</f>
        <v>0</v>
      </c>
      <c r="L52" s="18">
        <f>'[1]5.3 附表1-能源结构'!K192*L$11</f>
        <v>0</v>
      </c>
      <c r="M52" s="18">
        <f>'[1]5.3 附表1-能源结构'!L192*M$11</f>
        <v>0</v>
      </c>
      <c r="N52" s="18">
        <f>'[1]5.3 附表1-能源结构'!M192*N$11</f>
        <v>0</v>
      </c>
      <c r="O52" s="18">
        <f>'[1]5.3 附表1-能源结构'!N192*O$11</f>
        <v>0</v>
      </c>
      <c r="P52" s="18">
        <f>'[1]5.3 附表1-能源结构'!O192*P$11</f>
        <v>0</v>
      </c>
      <c r="Q52" s="18">
        <f>'[1]5.3 附表1-能源结构'!P192*Q$11</f>
        <v>0</v>
      </c>
      <c r="R52" s="18">
        <f>'[1]5.3 附表1-能源结构'!Q192*R$11</f>
        <v>0</v>
      </c>
      <c r="S52" s="18">
        <f>'[1]5.3 附表1-能源结构'!R192*S$11</f>
        <v>0</v>
      </c>
      <c r="T52" s="18">
        <f>'[1]5.3 附表1-能源结构'!S192*T$11</f>
        <v>0</v>
      </c>
      <c r="U52" s="18">
        <f>'[1]5.3 附表1-能源结构'!T192*U$11</f>
        <v>0</v>
      </c>
      <c r="V52" s="18">
        <f>'[1]5.3 附表1-能源结构'!U192*V$11</f>
        <v>0</v>
      </c>
      <c r="W52" s="18">
        <f>'[1]5.3 附表1-能源结构'!V192*W$11</f>
        <v>0</v>
      </c>
      <c r="X52" s="18">
        <f>'[1]5.3 附表1-能源结构'!W192*X$11</f>
        <v>0</v>
      </c>
      <c r="Y52" s="18">
        <f>'[1]5.3 附表1-能源结构'!X192*Y$11</f>
        <v>0</v>
      </c>
      <c r="Z52" s="18">
        <f>'[1]5.3 附表1-能源结构'!Y192*Z$11</f>
        <v>0</v>
      </c>
      <c r="AA52" s="18">
        <f>'[1]5.3 附表1-能源结构'!Z192*AA$11</f>
        <v>0</v>
      </c>
      <c r="AB52" s="18">
        <f>'[1]5.3 附表1-能源结构'!AA192*AB$11</f>
        <v>0</v>
      </c>
      <c r="AC52" s="18">
        <f>'[1]5.3 附表1-能源结构'!AB192*AC$11</f>
        <v>0</v>
      </c>
      <c r="AD52" s="18">
        <f>'[1]5.3 附表1-能源结构'!AC192*AD$11</f>
        <v>0</v>
      </c>
      <c r="AE52" s="18">
        <f>'[1]5.3 附表1-能源结构'!AD192*AE$11</f>
        <v>0</v>
      </c>
      <c r="AF52" s="18">
        <f>'[1]5.3 附表1-能源结构'!AE192*AF$11</f>
        <v>0</v>
      </c>
      <c r="AG52" s="18">
        <f>'[1]5.3 附表1-能源结构'!AF192*AG$11</f>
        <v>0</v>
      </c>
      <c r="AH52" s="18">
        <f>'[1]5.3 附表1-能源结构'!AG192*AH$11</f>
        <v>0</v>
      </c>
      <c r="AI52" s="18">
        <f>'[1]5.3 附表1-能源结构'!AH192*AI$11</f>
        <v>0</v>
      </c>
    </row>
    <row r="53" spans="2:35" ht="16" thickTop="1" thickBot="1">
      <c r="B53" s="19"/>
      <c r="C53" s="13" t="s">
        <v>11</v>
      </c>
      <c r="D53" s="14" t="s">
        <v>16</v>
      </c>
      <c r="E53" s="18">
        <f>'[1]5.3 附表1-能源结构'!D193*E$11</f>
        <v>1.079043471660001</v>
      </c>
      <c r="F53" s="18">
        <f>'[1]5.3 附表1-能源结构'!E193*F$11</f>
        <v>2.1394587895493689</v>
      </c>
      <c r="G53" s="18">
        <f>'[1]5.3 附表1-能源结构'!F193*G$11</f>
        <v>2.8458814964192203</v>
      </c>
      <c r="H53" s="18">
        <f>'[1]5.3 附表1-能源结构'!G193*H$11</f>
        <v>3.6887387892209862</v>
      </c>
      <c r="I53" s="18">
        <f>'[1]5.3 附表1-能源结构'!H193*I$11</f>
        <v>4.570636722248528</v>
      </c>
      <c r="J53" s="18">
        <f>'[1]5.3 附表1-能源结构'!I193*J$11</f>
        <v>5.5767696890697955</v>
      </c>
      <c r="K53" s="18">
        <f>'[1]5.3 附表1-能源结构'!J193*K$11</f>
        <v>6.7667083359333748</v>
      </c>
      <c r="L53" s="18">
        <f>'[1]5.3 附表1-能源结构'!K193*L$11</f>
        <v>8.1218182289081451</v>
      </c>
      <c r="M53" s="18">
        <f>'[1]5.3 附表1-能源结构'!L193*M$11</f>
        <v>9.6555664735295732</v>
      </c>
      <c r="N53" s="18">
        <f>'[1]5.3 附表1-能源结构'!M193*N$11</f>
        <v>11.380318843606023</v>
      </c>
      <c r="O53" s="18">
        <f>'[1]5.3 附表1-能源结构'!N193*O$11</f>
        <v>13.306467921845453</v>
      </c>
      <c r="P53" s="18">
        <f>'[1]5.3 附表1-能源结构'!O193*P$11</f>
        <v>15.441275322836857</v>
      </c>
      <c r="Q53" s="18">
        <f>'[1]5.3 附表1-能源结构'!P193*Q$11</f>
        <v>17.787345943983258</v>
      </c>
      <c r="R53" s="18">
        <f>'[1]5.3 附表1-能源结构'!Q193*R$11</f>
        <v>20.340626199649449</v>
      </c>
      <c r="S53" s="18">
        <f>'[1]5.3 附表1-能源结构'!R193*S$11</f>
        <v>23.087781837132098</v>
      </c>
      <c r="T53" s="18">
        <f>'[1]5.3 附表1-能源结构'!S193*T$11</f>
        <v>26.002759190345415</v>
      </c>
      <c r="U53" s="18">
        <f>'[1]5.3 附表1-能源结构'!T193*U$11</f>
        <v>29.04225894161516</v>
      </c>
      <c r="V53" s="18">
        <f>'[1]5.3 附表1-能源结构'!U193*V$11</f>
        <v>32.139741939438352</v>
      </c>
      <c r="W53" s="18">
        <f>'[1]5.3 附表1-能源结构'!V193*W$11</f>
        <v>35.19742449487493</v>
      </c>
      <c r="X53" s="18">
        <f>'[1]5.3 附表1-能源结构'!W193*X$11</f>
        <v>38.075478570648421</v>
      </c>
      <c r="Y53" s="18">
        <f>'[1]5.3 附表1-能源结构'!X193*Y$11</f>
        <v>40.577288769133062</v>
      </c>
      <c r="Z53" s="18">
        <f>'[1]5.3 附表1-能源结构'!Y193*Z$11</f>
        <v>42.429069620087802</v>
      </c>
      <c r="AA53" s="18">
        <f>'[1]5.3 附表1-能源结构'!Z193*AA$11</f>
        <v>43.251316936864363</v>
      </c>
      <c r="AB53" s="18">
        <f>'[1]5.3 附表1-能源结构'!AA193*AB$11</f>
        <v>42.518309529979305</v>
      </c>
      <c r="AC53" s="18">
        <f>'[1]5.3 附表1-能源结构'!AB193*AC$11</f>
        <v>39.499970402532185</v>
      </c>
      <c r="AD53" s="18">
        <f>'[1]5.3 附表1-能源结构'!AC193*AD$11</f>
        <v>33.177503901589205</v>
      </c>
      <c r="AE53" s="18">
        <f>'[1]5.3 附表1-能源结构'!AD193*AE$11</f>
        <v>22.119839974546647</v>
      </c>
      <c r="AF53" s="18">
        <f>'[1]5.3 附表1-能源结构'!AE193*AF$11</f>
        <v>4.3012739487320468</v>
      </c>
      <c r="AG53" s="18">
        <f>'[1]5.3 附表1-能源结构'!AF193*AG$11</f>
        <v>-23.169361010783216</v>
      </c>
      <c r="AH53" s="18">
        <f>'[1]5.3 附表1-能源结构'!AG193*AH$11</f>
        <v>74.581452978097147</v>
      </c>
      <c r="AI53" s="18">
        <f>'[1]5.3 附表1-能源结构'!AH193*AI$11</f>
        <v>0</v>
      </c>
    </row>
    <row r="54" spans="2:35" ht="16" thickTop="1" thickBot="1">
      <c r="B54" s="19"/>
      <c r="C54" s="13" t="s">
        <v>11</v>
      </c>
      <c r="D54" s="14" t="s">
        <v>17</v>
      </c>
      <c r="E54" s="18">
        <f>'[1]5.3 附表1-能源结构'!D194*E$11</f>
        <v>0</v>
      </c>
      <c r="F54" s="18">
        <f>'[1]5.3 附表1-能源结构'!E194*F$11</f>
        <v>0</v>
      </c>
      <c r="G54" s="18">
        <f>'[1]5.3 附表1-能源结构'!F194*G$11</f>
        <v>0</v>
      </c>
      <c r="H54" s="18">
        <f>'[1]5.3 附表1-能源结构'!G194*H$11</f>
        <v>0</v>
      </c>
      <c r="I54" s="18">
        <f>'[1]5.3 附表1-能源结构'!H194*I$11</f>
        <v>0</v>
      </c>
      <c r="J54" s="18">
        <f>'[1]5.3 附表1-能源结构'!I194*J$11</f>
        <v>0</v>
      </c>
      <c r="K54" s="18">
        <f>'[1]5.3 附表1-能源结构'!J194*K$11</f>
        <v>0</v>
      </c>
      <c r="L54" s="18">
        <f>'[1]5.3 附表1-能源结构'!K194*L$11</f>
        <v>0</v>
      </c>
      <c r="M54" s="18">
        <f>'[1]5.3 附表1-能源结构'!L194*M$11</f>
        <v>0</v>
      </c>
      <c r="N54" s="18">
        <f>'[1]5.3 附表1-能源结构'!M194*N$11</f>
        <v>0</v>
      </c>
      <c r="O54" s="18">
        <f>'[1]5.3 附表1-能源结构'!N194*O$11</f>
        <v>0</v>
      </c>
      <c r="P54" s="18">
        <f>'[1]5.3 附表1-能源结构'!O194*P$11</f>
        <v>0</v>
      </c>
      <c r="Q54" s="18">
        <f>'[1]5.3 附表1-能源结构'!P194*Q$11</f>
        <v>0</v>
      </c>
      <c r="R54" s="18">
        <f>'[1]5.3 附表1-能源结构'!Q194*R$11</f>
        <v>0</v>
      </c>
      <c r="S54" s="18">
        <f>'[1]5.3 附表1-能源结构'!R194*S$11</f>
        <v>0</v>
      </c>
      <c r="T54" s="18">
        <f>'[1]5.3 附表1-能源结构'!S194*T$11</f>
        <v>0</v>
      </c>
      <c r="U54" s="18">
        <f>'[1]5.3 附表1-能源结构'!T194*U$11</f>
        <v>0</v>
      </c>
      <c r="V54" s="18">
        <f>'[1]5.3 附表1-能源结构'!U194*V$11</f>
        <v>0</v>
      </c>
      <c r="W54" s="18">
        <f>'[1]5.3 附表1-能源结构'!V194*W$11</f>
        <v>0</v>
      </c>
      <c r="X54" s="18">
        <f>'[1]5.3 附表1-能源结构'!W194*X$11</f>
        <v>0</v>
      </c>
      <c r="Y54" s="18">
        <f>'[1]5.3 附表1-能源结构'!X194*Y$11</f>
        <v>0</v>
      </c>
      <c r="Z54" s="18">
        <f>'[1]5.3 附表1-能源结构'!Y194*Z$11</f>
        <v>0</v>
      </c>
      <c r="AA54" s="18">
        <f>'[1]5.3 附表1-能源结构'!Z194*AA$11</f>
        <v>0</v>
      </c>
      <c r="AB54" s="18">
        <f>'[1]5.3 附表1-能源结构'!AA194*AB$11</f>
        <v>0</v>
      </c>
      <c r="AC54" s="18">
        <f>'[1]5.3 附表1-能源结构'!AB194*AC$11</f>
        <v>0</v>
      </c>
      <c r="AD54" s="18">
        <f>'[1]5.3 附表1-能源结构'!AC194*AD$11</f>
        <v>0</v>
      </c>
      <c r="AE54" s="18">
        <f>'[1]5.3 附表1-能源结构'!AD194*AE$11</f>
        <v>0</v>
      </c>
      <c r="AF54" s="18">
        <f>'[1]5.3 附表1-能源结构'!AE194*AF$11</f>
        <v>0</v>
      </c>
      <c r="AG54" s="18">
        <f>'[1]5.3 附表1-能源结构'!AF194*AG$11</f>
        <v>0</v>
      </c>
      <c r="AH54" s="18">
        <f>'[1]5.3 附表1-能源结构'!AG194*AH$11</f>
        <v>0</v>
      </c>
      <c r="AI54" s="18">
        <f>'[1]5.3 附表1-能源结构'!AH194*AI$11</f>
        <v>0</v>
      </c>
    </row>
    <row r="55" spans="2:35" ht="16" thickTop="1" thickBot="1">
      <c r="B55" s="19"/>
      <c r="C55" s="13" t="s">
        <v>11</v>
      </c>
      <c r="D55" s="14" t="s">
        <v>18</v>
      </c>
      <c r="E55" s="18">
        <f>'[1]5.3 附表1-能源结构'!D195*E$11</f>
        <v>8.092826037450001</v>
      </c>
      <c r="F55" s="18">
        <f>'[1]5.3 附表1-能源结构'!E195*F$11</f>
        <v>8.7004623508414056</v>
      </c>
      <c r="G55" s="18">
        <f>'[1]5.3 附表1-能源结构'!F195*G$11</f>
        <v>9.7419459102317614</v>
      </c>
      <c r="H55" s="18">
        <f>'[1]5.3 附表1-能源结构'!G195*H$11</f>
        <v>10.898022148124383</v>
      </c>
      <c r="I55" s="18">
        <f>'[1]5.3 附表1-能源结构'!H195*I$11</f>
        <v>11.880170418218603</v>
      </c>
      <c r="J55" s="18">
        <f>'[1]5.3 附表1-能源结构'!I195*J$11</f>
        <v>12.950657098603834</v>
      </c>
      <c r="K55" s="18">
        <f>'[1]5.3 附表1-能源结构'!J195*K$11</f>
        <v>14.220410545572404</v>
      </c>
      <c r="L55" s="18">
        <f>'[1]5.3 附表1-能源结构'!K195*L$11</f>
        <v>15.616715070012384</v>
      </c>
      <c r="M55" s="18">
        <f>'[1]5.3 附表1-能源结构'!L195*M$11</f>
        <v>17.15287829807226</v>
      </c>
      <c r="N55" s="18">
        <f>'[1]5.3 附表1-能源结构'!M195*N$11</f>
        <v>18.843838052020544</v>
      </c>
      <c r="O55" s="18">
        <f>'[1]5.3 附表1-能源结构'!N195*O$11</f>
        <v>20.7064347258944</v>
      </c>
      <c r="P55" s="18">
        <f>'[1]5.3 附表1-能源结构'!O195*P$11</f>
        <v>22.759748812705851</v>
      </c>
      <c r="Q55" s="18">
        <f>'[1]5.3 附表1-能源结构'!P195*Q$11</f>
        <v>25.025523059746511</v>
      </c>
      <c r="R55" s="18">
        <f>'[1]5.3 附表1-能源结构'!Q195*R$11</f>
        <v>27.528695089679697</v>
      </c>
      <c r="S55" s="18">
        <f>'[1]5.3 附表1-能源结构'!R195*S$11</f>
        <v>30.298074823516615</v>
      </c>
      <c r="T55" s="18">
        <f>'[1]5.3 附表1-能源结构'!S195*T$11</f>
        <v>33.367212401382936</v>
      </c>
      <c r="U55" s="18">
        <f>'[1]5.3 附表1-能源结构'!T195*U$11</f>
        <v>36.775517488279441</v>
      </c>
      <c r="V55" s="18">
        <f>'[1]5.3 附表1-能源结构'!U195*V$11</f>
        <v>40.569711174454284</v>
      </c>
      <c r="W55" s="18">
        <f>'[1]5.3 附表1-能源结构'!V195*W$11</f>
        <v>44.805718874707374</v>
      </c>
      <c r="X55" s="18">
        <f>'[1]5.3 附表1-能源结构'!W195*X$11</f>
        <v>49.551149030749016</v>
      </c>
      <c r="Y55" s="18">
        <f>'[1]5.3 附表1-能源结构'!X195*Y$11</f>
        <v>54.888551151183641</v>
      </c>
      <c r="Z55" s="18">
        <f>'[1]5.3 附表1-能源结构'!Y195*Z$11</f>
        <v>60.919711972553714</v>
      </c>
      <c r="AA55" s="18">
        <f>'[1]5.3 附表1-能源结构'!Z195*AA$11</f>
        <v>67.771335903230536</v>
      </c>
      <c r="AB55" s="18">
        <f>'[1]5.3 附表1-能源结构'!AA195*AB$11</f>
        <v>75.602572938000648</v>
      </c>
      <c r="AC55" s="18">
        <f>'[1]5.3 附表1-能源结构'!AB195*AC$11</f>
        <v>84.615013978671911</v>
      </c>
      <c r="AD55" s="18">
        <f>'[1]5.3 附表1-能源结构'!AC195*AD$11</f>
        <v>95.065983462843548</v>
      </c>
      <c r="AE55" s="18">
        <f>'[1]5.3 附表1-能源结构'!AD195*AE$11</f>
        <v>107.28624047539417</v>
      </c>
      <c r="AF55" s="18">
        <f>'[1]5.3 附表1-能源结构'!AE195*AF$11</f>
        <v>121.70357632964158</v>
      </c>
      <c r="AG55" s="18">
        <f>'[1]5.3 附表1-能源结构'!AF195*AG$11</f>
        <v>138.87430143021572</v>
      </c>
      <c r="AH55" s="18">
        <f>'[1]5.3 附表1-能源结构'!AG195*AH$11</f>
        <v>159.52529057916709</v>
      </c>
      <c r="AI55" s="18">
        <f>'[1]5.3 附表1-能源结构'!AH195*AI$11</f>
        <v>220.31121792340173</v>
      </c>
    </row>
    <row r="56" spans="2:35" ht="16" thickTop="1" thickBot="1">
      <c r="B56" s="19"/>
      <c r="C56" s="13" t="s">
        <v>11</v>
      </c>
      <c r="D56" s="14" t="s">
        <v>19</v>
      </c>
      <c r="E56" s="18">
        <f>'[1]5.3 附表1-能源结构'!D196*E$11</f>
        <v>0</v>
      </c>
      <c r="F56" s="18">
        <f>'[1]5.3 附表1-能源结构'!E196*F$11</f>
        <v>0</v>
      </c>
      <c r="G56" s="18">
        <f>'[1]5.3 附表1-能源结构'!F196*G$11</f>
        <v>0</v>
      </c>
      <c r="H56" s="18">
        <f>'[1]5.3 附表1-能源结构'!G196*H$11</f>
        <v>0</v>
      </c>
      <c r="I56" s="18">
        <f>'[1]5.3 附表1-能源结构'!H196*I$11</f>
        <v>0</v>
      </c>
      <c r="J56" s="18">
        <f>'[1]5.3 附表1-能源结构'!I196*J$11</f>
        <v>0</v>
      </c>
      <c r="K56" s="18">
        <f>'[1]5.3 附表1-能源结构'!J196*K$11</f>
        <v>0</v>
      </c>
      <c r="L56" s="18">
        <f>'[1]5.3 附表1-能源结构'!K196*L$11</f>
        <v>0</v>
      </c>
      <c r="M56" s="18">
        <f>'[1]5.3 附表1-能源结构'!L196*M$11</f>
        <v>0</v>
      </c>
      <c r="N56" s="18">
        <f>'[1]5.3 附表1-能源结构'!M196*N$11</f>
        <v>0</v>
      </c>
      <c r="O56" s="18">
        <f>'[1]5.3 附表1-能源结构'!N196*O$11</f>
        <v>0</v>
      </c>
      <c r="P56" s="18">
        <f>'[1]5.3 附表1-能源结构'!O196*P$11</f>
        <v>0</v>
      </c>
      <c r="Q56" s="18">
        <f>'[1]5.3 附表1-能源结构'!P196*Q$11</f>
        <v>0</v>
      </c>
      <c r="R56" s="18">
        <f>'[1]5.3 附表1-能源结构'!Q196*R$11</f>
        <v>0</v>
      </c>
      <c r="S56" s="18">
        <f>'[1]5.3 附表1-能源结构'!R196*S$11</f>
        <v>0</v>
      </c>
      <c r="T56" s="18">
        <f>'[1]5.3 附表1-能源结构'!S196*T$11</f>
        <v>0</v>
      </c>
      <c r="U56" s="18">
        <f>'[1]5.3 附表1-能源结构'!T196*U$11</f>
        <v>0</v>
      </c>
      <c r="V56" s="18">
        <f>'[1]5.3 附表1-能源结构'!U196*V$11</f>
        <v>0</v>
      </c>
      <c r="W56" s="18">
        <f>'[1]5.3 附表1-能源结构'!V196*W$11</f>
        <v>0</v>
      </c>
      <c r="X56" s="18">
        <f>'[1]5.3 附表1-能源结构'!W196*X$11</f>
        <v>0</v>
      </c>
      <c r="Y56" s="18">
        <f>'[1]5.3 附表1-能源结构'!X196*Y$11</f>
        <v>0</v>
      </c>
      <c r="Z56" s="18">
        <f>'[1]5.3 附表1-能源结构'!Y196*Z$11</f>
        <v>0</v>
      </c>
      <c r="AA56" s="18">
        <f>'[1]5.3 附表1-能源结构'!Z196*AA$11</f>
        <v>0</v>
      </c>
      <c r="AB56" s="18">
        <f>'[1]5.3 附表1-能源结构'!AA196*AB$11</f>
        <v>0</v>
      </c>
      <c r="AC56" s="18">
        <f>'[1]5.3 附表1-能源结构'!AB196*AC$11</f>
        <v>0</v>
      </c>
      <c r="AD56" s="18">
        <f>'[1]5.3 附表1-能源结构'!AC196*AD$11</f>
        <v>0</v>
      </c>
      <c r="AE56" s="18">
        <f>'[1]5.3 附表1-能源结构'!AD196*AE$11</f>
        <v>0</v>
      </c>
      <c r="AF56" s="18">
        <f>'[1]5.3 附表1-能源结构'!AE196*AF$11</f>
        <v>0</v>
      </c>
      <c r="AG56" s="18">
        <f>'[1]5.3 附表1-能源结构'!AF196*AG$11</f>
        <v>0</v>
      </c>
      <c r="AH56" s="18">
        <f>'[1]5.3 附表1-能源结构'!AG196*AH$11</f>
        <v>0</v>
      </c>
      <c r="AI56" s="18">
        <f>'[1]5.3 附表1-能源结构'!AH196*AI$11</f>
        <v>0</v>
      </c>
    </row>
    <row r="57" spans="2:35" ht="16" thickTop="1" thickBot="1">
      <c r="B57" s="23"/>
      <c r="C57" s="13" t="s">
        <v>11</v>
      </c>
      <c r="D57" s="20" t="s">
        <v>20</v>
      </c>
      <c r="E57" s="18">
        <f>'[1]5.3 附表1-能源结构'!D197*E$11</f>
        <v>43.161738866400007</v>
      </c>
      <c r="F57" s="18">
        <f>'[1]5.3 附表1-能源结构'!E197*F$11</f>
        <v>49.95199850736735</v>
      </c>
      <c r="G57" s="18">
        <f>'[1]5.3 附表1-能源结构'!F197*G$11</f>
        <v>60.209921182355863</v>
      </c>
      <c r="H57" s="18">
        <f>'[1]5.3 附表1-能源结构'!G197*H$11</f>
        <v>72.507317703712857</v>
      </c>
      <c r="I57" s="18">
        <f>'[1]5.3 附表1-能源结构'!H197*I$11</f>
        <v>85.08806200682055</v>
      </c>
      <c r="J57" s="18">
        <f>'[1]5.3 附表1-能源结构'!I197*J$11</f>
        <v>99.850346086333801</v>
      </c>
      <c r="K57" s="18">
        <f>'[1]5.3 附表1-能源结构'!J197*K$11</f>
        <v>118.02709369170802</v>
      </c>
      <c r="L57" s="18">
        <f>'[1]5.3 附表1-能源结构'!K197*L$11</f>
        <v>139.53111779926016</v>
      </c>
      <c r="M57" s="18">
        <f>'[1]5.3 附表1-能源结构'!L197*M$11</f>
        <v>164.97958298286395</v>
      </c>
      <c r="N57" s="18">
        <f>'[1]5.3 附表1-能源结构'!M197*N$11</f>
        <v>195.10768090911549</v>
      </c>
      <c r="O57" s="18">
        <f>'[1]5.3 附表1-能源结构'!N197*O$11</f>
        <v>230.79273817536591</v>
      </c>
      <c r="P57" s="18">
        <f>'[1]5.3 附表1-能源结构'!O197*P$11</f>
        <v>273.08389286334642</v>
      </c>
      <c r="Q57" s="18">
        <f>'[1]5.3 附表1-能源结构'!P197*Q$11</f>
        <v>323.23887931521909</v>
      </c>
      <c r="R57" s="18">
        <f>'[1]5.3 附表1-能源结构'!Q197*R$11</f>
        <v>382.76997418679804</v>
      </c>
      <c r="S57" s="18">
        <f>'[1]5.3 附表1-能源结构'!R197*S$11</f>
        <v>453.50186721257381</v>
      </c>
      <c r="T57" s="18">
        <f>'[1]5.3 附表1-能源结构'!S197*T$11</f>
        <v>537.64520890952178</v>
      </c>
      <c r="U57" s="18">
        <f>'[1]5.3 附表1-能源结构'!T197*U$11</f>
        <v>637.89097132950474</v>
      </c>
      <c r="V57" s="18">
        <f>'[1]5.3 附表1-能源结构'!U197*V$11</f>
        <v>757.5327040675021</v>
      </c>
      <c r="W57" s="18">
        <f>'[1]5.3 附表1-能源结构'!V197*W$11</f>
        <v>900.62651572191646</v>
      </c>
      <c r="X57" s="18">
        <f>'[1]5.3 附表1-能源结构'!W197*X$11</f>
        <v>1072.2025049635281</v>
      </c>
      <c r="Y57" s="18">
        <f>'[1]5.3 附表1-能源结构'!X197*Y$11</f>
        <v>1278.5468996802413</v>
      </c>
      <c r="Z57" s="18">
        <f>'[1]5.3 附表1-能源结构'!Y197*Z$11</f>
        <v>1527.5820481540648</v>
      </c>
      <c r="AA57" s="18">
        <f>'[1]5.3 附表1-能源结构'!Z197*AA$11</f>
        <v>1829.3826655288938</v>
      </c>
      <c r="AB57" s="18">
        <f>'[1]5.3 附表1-能源结构'!AA197*AB$11</f>
        <v>2196.8828438552327</v>
      </c>
      <c r="AC57" s="18">
        <f>'[1]5.3 附表1-能源结构'!AB197*AC$11</f>
        <v>2646.8514041536896</v>
      </c>
      <c r="AD57" s="18">
        <f>'[1]5.3 附表1-能源结构'!AC197*AD$11</f>
        <v>3201.2462569250329</v>
      </c>
      <c r="AE57" s="18">
        <f>'[1]5.3 附表1-能源结构'!AD197*AE$11</f>
        <v>3889.1059414999336</v>
      </c>
      <c r="AF57" s="18">
        <f>'[1]5.3 附表1-能源结构'!AE197*AF$11</f>
        <v>4749.204772526622</v>
      </c>
      <c r="AG57" s="18">
        <f>'[1]5.3 附表1-能源结构'!AF197*AG$11</f>
        <v>5833.7961686920826</v>
      </c>
      <c r="AH57" s="18">
        <f>'[1]5.3 附表1-能源结构'!AG197*AH$11</f>
        <v>7213.9099426602934</v>
      </c>
      <c r="AI57" s="18">
        <f>'[1]5.3 附表1-能源结构'!AH197*AI$11</f>
        <v>10795.249678246684</v>
      </c>
    </row>
    <row r="58" spans="2:35" ht="16" thickTop="1" thickBot="1">
      <c r="B58" s="24"/>
      <c r="D58" s="20"/>
      <c r="E58" s="22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 spans="2:35" ht="16" thickTop="1" thickBot="1">
      <c r="B59" s="17" t="s">
        <v>22</v>
      </c>
      <c r="C59" s="13" t="s">
        <v>5</v>
      </c>
      <c r="D59" s="14" t="s">
        <v>15</v>
      </c>
      <c r="E59" s="25">
        <f>'[1]5.3 附表1-能源结构'!D206*E$6</f>
        <v>0</v>
      </c>
      <c r="F59" s="25">
        <f>'[1]5.3 附表1-能源结构'!E206*F$6</f>
        <v>0</v>
      </c>
      <c r="G59" s="25">
        <f>'[1]5.3 附表1-能源结构'!F206*G$6</f>
        <v>0</v>
      </c>
      <c r="H59" s="25">
        <f>'[1]5.3 附表1-能源结构'!G206*H$6</f>
        <v>0</v>
      </c>
      <c r="I59" s="25">
        <f>'[1]5.3 附表1-能源结构'!H206*I$6</f>
        <v>0</v>
      </c>
      <c r="J59" s="25">
        <f>'[1]5.3 附表1-能源结构'!I206*J$6</f>
        <v>0</v>
      </c>
      <c r="K59" s="25">
        <f>'[1]5.3 附表1-能源结构'!J206*K$6</f>
        <v>0</v>
      </c>
      <c r="L59" s="18">
        <f>'[1]5.3 附表1-能源结构'!K206*L$6</f>
        <v>0</v>
      </c>
      <c r="M59" s="18">
        <f>'[1]5.3 附表1-能源结构'!L206*M$6</f>
        <v>0</v>
      </c>
      <c r="N59" s="18">
        <f>'[1]5.3 附表1-能源结构'!M206*N$6</f>
        <v>0</v>
      </c>
      <c r="O59" s="18">
        <f>'[1]5.3 附表1-能源结构'!N206*O$6</f>
        <v>0</v>
      </c>
      <c r="P59" s="18">
        <f>'[1]5.3 附表1-能源结构'!O206*P$6</f>
        <v>0</v>
      </c>
      <c r="Q59" s="18">
        <f>'[1]5.3 附表1-能源结构'!P206*Q$6</f>
        <v>0</v>
      </c>
      <c r="R59" s="18">
        <f>'[1]5.3 附表1-能源结构'!Q206*R$6</f>
        <v>0</v>
      </c>
      <c r="S59" s="18">
        <f>'[1]5.3 附表1-能源结构'!R206*S$6</f>
        <v>0</v>
      </c>
      <c r="T59" s="18">
        <f>'[1]5.3 附表1-能源结构'!S206*T$6</f>
        <v>0</v>
      </c>
      <c r="U59" s="18">
        <f>'[1]5.3 附表1-能源结构'!T206*U$6</f>
        <v>0</v>
      </c>
      <c r="V59" s="18">
        <f>'[1]5.3 附表1-能源结构'!U206*V$6</f>
        <v>0</v>
      </c>
      <c r="W59" s="18">
        <f>'[1]5.3 附表1-能源结构'!V206*W$6</f>
        <v>0</v>
      </c>
      <c r="X59" s="18">
        <f>'[1]5.3 附表1-能源结构'!W206*X$6</f>
        <v>0</v>
      </c>
      <c r="Y59" s="18">
        <f>'[1]5.3 附表1-能源结构'!X206*Y$6</f>
        <v>0</v>
      </c>
      <c r="Z59" s="18">
        <f>'[1]5.3 附表1-能源结构'!Y206*Z$6</f>
        <v>0</v>
      </c>
      <c r="AA59" s="18">
        <f>'[1]5.3 附表1-能源结构'!Z206*AA$6</f>
        <v>0</v>
      </c>
      <c r="AB59" s="18">
        <f>'[1]5.3 附表1-能源结构'!AA206*AB$6</f>
        <v>0</v>
      </c>
      <c r="AC59" s="18">
        <f>'[1]5.3 附表1-能源结构'!AB206*AC$6</f>
        <v>0</v>
      </c>
      <c r="AD59" s="18">
        <f>'[1]5.3 附表1-能源结构'!AC206*AD$6</f>
        <v>0</v>
      </c>
      <c r="AE59" s="18">
        <f>'[1]5.3 附表1-能源结构'!AD206*AE$6</f>
        <v>0</v>
      </c>
      <c r="AF59" s="18">
        <f>'[1]5.3 附表1-能源结构'!AE206*AF$6</f>
        <v>0</v>
      </c>
      <c r="AG59" s="18">
        <f>'[1]5.3 附表1-能源结构'!AF206*AG$6</f>
        <v>0</v>
      </c>
      <c r="AH59" s="18">
        <f>'[1]5.3 附表1-能源结构'!AG206*AH$6</f>
        <v>0</v>
      </c>
      <c r="AI59" s="18">
        <f>'[1]5.3 附表1-能源结构'!AH206*AI$6</f>
        <v>0</v>
      </c>
    </row>
    <row r="60" spans="2:35" ht="16" thickTop="1" thickBot="1">
      <c r="B60" s="19"/>
      <c r="C60" s="13" t="s">
        <v>5</v>
      </c>
      <c r="D60" s="14" t="s">
        <v>16</v>
      </c>
      <c r="E60" s="25">
        <f>'[1]5.3 附表1-能源结构'!D207*E$6</f>
        <v>9.5829029999999999</v>
      </c>
      <c r="F60" s="25">
        <f>'[1]5.3 附表1-能源结构'!E207*F$6</f>
        <v>10.008261640652528</v>
      </c>
      <c r="G60" s="25">
        <f>'[1]5.3 附表1-能源结构'!F207*G$6</f>
        <v>10.537463614975081</v>
      </c>
      <c r="H60" s="25">
        <f>'[1]5.3 附表1-能源结构'!G207*H$6</f>
        <v>11.083734934109152</v>
      </c>
      <c r="I60" s="25">
        <f>'[1]5.3 附表1-能源结构'!H207*I$6</f>
        <v>11.359991037034376</v>
      </c>
      <c r="J60" s="25">
        <f>'[1]5.3 附表1-能源结构'!I207*J$6</f>
        <v>11.641941204609479</v>
      </c>
      <c r="K60" s="25">
        <f>'[1]5.3 附表1-能源结构'!J207*K$6</f>
        <v>12.004419151958302</v>
      </c>
      <c r="L60" s="18">
        <f>'[1]5.3 附表1-能源结构'!K207*L$6</f>
        <v>12.378184765328227</v>
      </c>
      <c r="M60" s="18">
        <f>'[1]5.3 附表1-能源结构'!L207*M$6</f>
        <v>12.763588518481354</v>
      </c>
      <c r="N60" s="18">
        <f>'[1]5.3 附表1-能源结构'!M207*N$6</f>
        <v>13.160991518222676</v>
      </c>
      <c r="O60" s="18">
        <f>'[1]5.3 附表1-能源结构'!N207*O$6</f>
        <v>13.570768618215768</v>
      </c>
      <c r="P60" s="18">
        <f>'[1]5.3 附表1-能源结构'!O207*P$6</f>
        <v>13.993303434298104</v>
      </c>
      <c r="Q60" s="18">
        <f>'[1]5.3 附表1-能源结构'!P207*Q$6</f>
        <v>14.42899573425459</v>
      </c>
      <c r="R60" s="18">
        <f>'[1]5.3 附表1-能源结构'!Q207*R$6</f>
        <v>14.878251558760983</v>
      </c>
      <c r="S60" s="18">
        <f>'[1]5.3 附表1-能源结构'!R207*S$6</f>
        <v>15.341497224178081</v>
      </c>
      <c r="T60" s="18">
        <f>'[1]5.3 附表1-能源结构'!S207*T$6</f>
        <v>15.819165800046383</v>
      </c>
      <c r="U60" s="18">
        <f>'[1]5.3 附表1-能源结构'!T207*U$6</f>
        <v>16.409047264289462</v>
      </c>
      <c r="V60" s="18">
        <f>'[1]5.3 附表1-能源结构'!U207*V$6</f>
        <v>17.020924840480276</v>
      </c>
      <c r="W60" s="18">
        <f>'[1]5.3 附表1-能源结构'!V207*W$6</f>
        <v>17.655618742458628</v>
      </c>
      <c r="X60" s="18">
        <f>'[1]5.3 附表1-能源结构'!W207*X$6</f>
        <v>18.313979769048821</v>
      </c>
      <c r="Y60" s="18">
        <f>'[1]5.3 附表1-能源结构'!X207*Y$6</f>
        <v>18.996890444544302</v>
      </c>
      <c r="Z60" s="18">
        <f>'[1]5.3 附表1-能源结构'!Y207*Z$6</f>
        <v>19.705266201719841</v>
      </c>
      <c r="AA60" s="18">
        <f>'[1]5.3 附表1-能源结构'!Z207*AA$6</f>
        <v>20.440056608957125</v>
      </c>
      <c r="AB60" s="18">
        <f>'[1]5.3 附表1-能源结构'!AA207*AB$6</f>
        <v>21.202246643128689</v>
      </c>
      <c r="AC60" s="18">
        <f>'[1]5.3 附表1-能源结构'!AB207*AC$6</f>
        <v>21.992858009946463</v>
      </c>
      <c r="AD60" s="18">
        <f>'[1]5.3 附表1-能源结构'!AC207*AD$6</f>
        <v>22.812950513544813</v>
      </c>
      <c r="AE60" s="18">
        <f>'[1]5.3 附表1-能源结构'!AD207*AE$6</f>
        <v>23.663623477134028</v>
      </c>
      <c r="AF60" s="18">
        <f>'[1]5.3 附表1-能源结构'!AE207*AF$6</f>
        <v>24.54601721662868</v>
      </c>
      <c r="AG60" s="18">
        <f>'[1]5.3 附表1-能源结构'!AF207*AG$6</f>
        <v>25.461314569226015</v>
      </c>
      <c r="AH60" s="18">
        <f>'[1]5.3 附表1-能源结构'!AG207*AH$6</f>
        <v>26.410742478983725</v>
      </c>
      <c r="AI60" s="18">
        <f>'[1]5.3 附表1-能源结构'!AH207*AI$6</f>
        <v>0</v>
      </c>
    </row>
    <row r="61" spans="2:35" ht="16" thickTop="1" thickBot="1">
      <c r="B61" s="19"/>
      <c r="C61" s="13" t="s">
        <v>5</v>
      </c>
      <c r="D61" s="14" t="s">
        <v>17</v>
      </c>
      <c r="E61" s="25">
        <f>'[1]5.3 附表1-能源结构'!D208*E$6</f>
        <v>0</v>
      </c>
      <c r="F61" s="25">
        <f>'[1]5.3 附表1-能源结构'!E208*F$6</f>
        <v>0</v>
      </c>
      <c r="G61" s="25">
        <f>'[1]5.3 附表1-能源结构'!F208*G$6</f>
        <v>0</v>
      </c>
      <c r="H61" s="25">
        <f>'[1]5.3 附表1-能源结构'!G208*H$6</f>
        <v>0</v>
      </c>
      <c r="I61" s="25">
        <f>'[1]5.3 附表1-能源结构'!H208*I$6</f>
        <v>0</v>
      </c>
      <c r="J61" s="25">
        <f>'[1]5.3 附表1-能源结构'!I208*J$6</f>
        <v>0</v>
      </c>
      <c r="K61" s="25">
        <f>'[1]5.3 附表1-能源结构'!J208*K$6</f>
        <v>0</v>
      </c>
      <c r="L61" s="18">
        <f>'[1]5.3 附表1-能源结构'!K208*L$6</f>
        <v>0</v>
      </c>
      <c r="M61" s="18">
        <f>'[1]5.3 附表1-能源结构'!L208*M$6</f>
        <v>0</v>
      </c>
      <c r="N61" s="18">
        <f>'[1]5.3 附表1-能源结构'!M208*N$6</f>
        <v>0</v>
      </c>
      <c r="O61" s="18">
        <f>'[1]5.3 附表1-能源结构'!N208*O$6</f>
        <v>0</v>
      </c>
      <c r="P61" s="18">
        <f>'[1]5.3 附表1-能源结构'!O208*P$6</f>
        <v>0</v>
      </c>
      <c r="Q61" s="18">
        <f>'[1]5.3 附表1-能源结构'!P208*Q$6</f>
        <v>0</v>
      </c>
      <c r="R61" s="18">
        <f>'[1]5.3 附表1-能源结构'!Q208*R$6</f>
        <v>0</v>
      </c>
      <c r="S61" s="18">
        <f>'[1]5.3 附表1-能源结构'!R208*S$6</f>
        <v>0</v>
      </c>
      <c r="T61" s="18">
        <f>'[1]5.3 附表1-能源结构'!S208*T$6</f>
        <v>0</v>
      </c>
      <c r="U61" s="18">
        <f>'[1]5.3 附表1-能源结构'!T208*U$6</f>
        <v>0</v>
      </c>
      <c r="V61" s="18">
        <f>'[1]5.3 附表1-能源结构'!U208*V$6</f>
        <v>0</v>
      </c>
      <c r="W61" s="18">
        <f>'[1]5.3 附表1-能源结构'!V208*W$6</f>
        <v>0</v>
      </c>
      <c r="X61" s="18">
        <f>'[1]5.3 附表1-能源结构'!W208*X$6</f>
        <v>0</v>
      </c>
      <c r="Y61" s="18">
        <f>'[1]5.3 附表1-能源结构'!X208*Y$6</f>
        <v>0</v>
      </c>
      <c r="Z61" s="18">
        <f>'[1]5.3 附表1-能源结构'!Y208*Z$6</f>
        <v>0</v>
      </c>
      <c r="AA61" s="18">
        <f>'[1]5.3 附表1-能源结构'!Z208*AA$6</f>
        <v>0</v>
      </c>
      <c r="AB61" s="18">
        <f>'[1]5.3 附表1-能源结构'!AA208*AB$6</f>
        <v>0</v>
      </c>
      <c r="AC61" s="18">
        <f>'[1]5.3 附表1-能源结构'!AB208*AC$6</f>
        <v>0</v>
      </c>
      <c r="AD61" s="18">
        <f>'[1]5.3 附表1-能源结构'!AC208*AD$6</f>
        <v>0</v>
      </c>
      <c r="AE61" s="18">
        <f>'[1]5.3 附表1-能源结构'!AD208*AE$6</f>
        <v>0</v>
      </c>
      <c r="AF61" s="18">
        <f>'[1]5.3 附表1-能源结构'!AE208*AF$6</f>
        <v>0</v>
      </c>
      <c r="AG61" s="18">
        <f>'[1]5.3 附表1-能源结构'!AF208*AG$6</f>
        <v>0</v>
      </c>
      <c r="AH61" s="18">
        <f>'[1]5.3 附表1-能源结构'!AG208*AH$6</f>
        <v>0</v>
      </c>
      <c r="AI61" s="18">
        <f>'[1]5.3 附表1-能源结构'!AH208*AI$6</f>
        <v>0</v>
      </c>
    </row>
    <row r="62" spans="2:35" ht="16" thickTop="1" thickBot="1">
      <c r="B62" s="19"/>
      <c r="C62" s="13" t="s">
        <v>5</v>
      </c>
      <c r="D62" s="14" t="s">
        <v>18</v>
      </c>
      <c r="E62" s="25">
        <f>'[1]5.3 附表1-能源结构'!D209*E$6</f>
        <v>939.12449400000003</v>
      </c>
      <c r="F62" s="25">
        <f>'[1]5.3 附表1-能源结构'!E209*F$6</f>
        <v>979.44815387047993</v>
      </c>
      <c r="G62" s="25">
        <f>'[1]5.3 附表1-能源结构'!F209*G$6</f>
        <v>1029.8064689271848</v>
      </c>
      <c r="H62" s="25">
        <f>'[1]5.3 附表1-能源结构'!G209*H$6</f>
        <v>1081.6889286711387</v>
      </c>
      <c r="I62" s="25">
        <f>'[1]5.3 附表1-能源结构'!H209*I$6</f>
        <v>1107.1104960046505</v>
      </c>
      <c r="J62" s="25">
        <f>'[1]5.3 附表1-能源结构'!I209*J$6</f>
        <v>1133.0135584616955</v>
      </c>
      <c r="K62" s="25">
        <f>'[1]5.3 附表1-能源结构'!J209*K$6</f>
        <v>1166.6687961155139</v>
      </c>
      <c r="L62" s="18">
        <f>'[1]5.3 附表1-能源结构'!K209*L$6</f>
        <v>1201.3239023859262</v>
      </c>
      <c r="M62" s="18">
        <f>'[1]5.3 附表1-能源结构'!L209*M$6</f>
        <v>1237.0084827222161</v>
      </c>
      <c r="N62" s="18">
        <f>'[1]5.3 附表1-能源结构'!M209*N$6</f>
        <v>1273.7529953571584</v>
      </c>
      <c r="O62" s="18">
        <f>'[1]5.3 附表1-能源结构'!N209*O$6</f>
        <v>1311.5890457347064</v>
      </c>
      <c r="P62" s="18">
        <f>'[1]5.3 附表1-能源结构'!O209*P$6</f>
        <v>1350.5488968409682</v>
      </c>
      <c r="Q62" s="18">
        <f>'[1]5.3 附表1-能源结构'!P209*Q$6</f>
        <v>1390.6661762285805</v>
      </c>
      <c r="R62" s="18">
        <f>'[1]5.3 附表1-能源结构'!Q209*R$6</f>
        <v>1431.9749150727191</v>
      </c>
      <c r="S62" s="18">
        <f>'[1]5.3 附表1-能源结构'!R209*S$6</f>
        <v>1474.5108905356581</v>
      </c>
      <c r="T62" s="18">
        <f>'[1]5.3 附表1-能源结构'!S209*T$6</f>
        <v>1518.3103150823272</v>
      </c>
      <c r="U62" s="18">
        <f>'[1]5.3 附表1-能源结构'!T209*U$6</f>
        <v>1572.7404492170681</v>
      </c>
      <c r="V62" s="18">
        <f>'[1]5.3 附表1-能源结构'!U209*V$6</f>
        <v>1629.1218573914409</v>
      </c>
      <c r="W62" s="18">
        <f>'[1]5.3 附表1-能源结构'!V209*W$6</f>
        <v>1687.5244911210593</v>
      </c>
      <c r="X62" s="18">
        <f>'[1]5.3 附表1-能源结构'!W209*X$6</f>
        <v>1748.0208096239071</v>
      </c>
      <c r="Y62" s="18">
        <f>'[1]5.3 附表1-能源结构'!X209*Y$6</f>
        <v>1810.6858697193388</v>
      </c>
      <c r="Z62" s="18">
        <f>'[1]5.3 附表1-能源结构'!Y209*Z$6</f>
        <v>1875.5974189498795</v>
      </c>
      <c r="AA62" s="18">
        <f>'[1]5.3 附表1-能源结构'!Z209*AA$6</f>
        <v>1942.8359920413625</v>
      </c>
      <c r="AB62" s="18">
        <f>'[1]5.3 附表1-能源结构'!AA209*AB$6</f>
        <v>2012.4850108210833</v>
      </c>
      <c r="AC62" s="18">
        <f>'[1]5.3 附表1-能源结构'!AB209*AC$6</f>
        <v>2084.6308877179331</v>
      </c>
      <c r="AD62" s="18">
        <f>'[1]5.3 附表1-能源结构'!AC209*AD$6</f>
        <v>2159.3631329729219</v>
      </c>
      <c r="AE62" s="18">
        <f>'[1]5.3 附表1-能源结构'!AD209*AE$6</f>
        <v>2236.7744656931086</v>
      </c>
      <c r="AF62" s="18">
        <f>'[1]5.3 附表1-能源结构'!AE209*AF$6</f>
        <v>2316.9609288867268</v>
      </c>
      <c r="AG62" s="18">
        <f>'[1]5.3 附表1-能源结构'!AF209*AG$6</f>
        <v>2400.0220086222089</v>
      </c>
      <c r="AH62" s="18">
        <f>'[1]5.3 附表1-能源结构'!AG209*AH$6</f>
        <v>2486.0607574589731</v>
      </c>
      <c r="AI62" s="18">
        <f>'[1]5.3 附表1-能源结构'!AH209*AI$6</f>
        <v>2681.9378029571581</v>
      </c>
    </row>
    <row r="63" spans="2:35" ht="16" thickTop="1" thickBot="1">
      <c r="B63" s="19"/>
      <c r="C63" s="13" t="s">
        <v>5</v>
      </c>
      <c r="D63" s="14" t="s">
        <v>19</v>
      </c>
      <c r="E63" s="25">
        <f>'[1]5.3 附表1-能源结构'!D210*E$6</f>
        <v>0</v>
      </c>
      <c r="F63" s="25">
        <f>'[1]5.3 附表1-能源结构'!E210*F$6</f>
        <v>10.008261640652528</v>
      </c>
      <c r="G63" s="25">
        <f>'[1]5.3 附表1-能源结构'!F210*G$6</f>
        <v>10.537463614975081</v>
      </c>
      <c r="H63" s="25">
        <f>'[1]5.3 附表1-能源结构'!G210*H$6</f>
        <v>11.083734934109152</v>
      </c>
      <c r="I63" s="25">
        <f>'[1]5.3 附表1-能源结构'!H210*I$6</f>
        <v>11.359991037034376</v>
      </c>
      <c r="J63" s="25">
        <f>'[1]5.3 附表1-能源结构'!I210*J$6</f>
        <v>11.641941204609479</v>
      </c>
      <c r="K63" s="25">
        <f>'[1]5.3 附表1-能源结构'!J210*K$6</f>
        <v>12.004419151958302</v>
      </c>
      <c r="L63" s="18">
        <f>'[1]5.3 附表1-能源结构'!K210*L$6</f>
        <v>12.378184765328227</v>
      </c>
      <c r="M63" s="18">
        <f>'[1]5.3 附表1-能源结构'!L210*M$6</f>
        <v>12.763588518481354</v>
      </c>
      <c r="N63" s="18">
        <f>'[1]5.3 附表1-能源结构'!M210*N$6</f>
        <v>13.160991518222676</v>
      </c>
      <c r="O63" s="18">
        <f>'[1]5.3 附表1-能源结构'!N210*O$6</f>
        <v>13.570768618215768</v>
      </c>
      <c r="P63" s="18">
        <f>'[1]5.3 附表1-能源结构'!O210*P$6</f>
        <v>13.993303434298104</v>
      </c>
      <c r="Q63" s="18">
        <f>'[1]5.3 附表1-能源结构'!P210*Q$6</f>
        <v>14.42899573425459</v>
      </c>
      <c r="R63" s="18">
        <f>'[1]5.3 附表1-能源结构'!Q210*R$6</f>
        <v>14.878251558760983</v>
      </c>
      <c r="S63" s="18">
        <f>'[1]5.3 附表1-能源结构'!R210*S$6</f>
        <v>15.341497224178081</v>
      </c>
      <c r="T63" s="18">
        <f>'[1]5.3 附表1-能源结构'!S210*T$6</f>
        <v>15.819165800046383</v>
      </c>
      <c r="U63" s="18">
        <f>'[1]5.3 附表1-能源结构'!T210*U$6</f>
        <v>16.409047264289462</v>
      </c>
      <c r="V63" s="18">
        <f>'[1]5.3 附表1-能源结构'!U210*V$6</f>
        <v>17.020924840480276</v>
      </c>
      <c r="W63" s="18">
        <f>'[1]5.3 附表1-能源结构'!V210*W$6</f>
        <v>17.655618742458628</v>
      </c>
      <c r="X63" s="18">
        <f>'[1]5.3 附表1-能源结构'!W210*X$6</f>
        <v>18.313979769048821</v>
      </c>
      <c r="Y63" s="18">
        <f>'[1]5.3 附表1-能源结构'!X210*Y$6</f>
        <v>18.996890444544302</v>
      </c>
      <c r="Z63" s="18">
        <f>'[1]5.3 附表1-能源结构'!Y210*Z$6</f>
        <v>19.705266201719841</v>
      </c>
      <c r="AA63" s="18">
        <f>'[1]5.3 附表1-能源结构'!Z210*AA$6</f>
        <v>20.440056608957125</v>
      </c>
      <c r="AB63" s="18">
        <f>'[1]5.3 附表1-能源结构'!AA210*AB$6</f>
        <v>21.202246643128689</v>
      </c>
      <c r="AC63" s="18">
        <f>'[1]5.3 附表1-能源结构'!AB210*AC$6</f>
        <v>21.992858009946463</v>
      </c>
      <c r="AD63" s="18">
        <f>'[1]5.3 附表1-能源结构'!AC210*AD$6</f>
        <v>22.812950513544813</v>
      </c>
      <c r="AE63" s="18">
        <f>'[1]5.3 附表1-能源结构'!AD210*AE$6</f>
        <v>23.663623477134028</v>
      </c>
      <c r="AF63" s="18">
        <f>'[1]5.3 附表1-能源结构'!AE210*AF$6</f>
        <v>24.54601721662868</v>
      </c>
      <c r="AG63" s="18">
        <f>'[1]5.3 附表1-能源结构'!AF210*AG$6</f>
        <v>25.461314569226015</v>
      </c>
      <c r="AH63" s="18">
        <f>'[1]5.3 附表1-能源结构'!AG210*AH$6</f>
        <v>26.410742478983725</v>
      </c>
      <c r="AI63" s="18">
        <f>'[1]5.3 附表1-能源结构'!AH210*AI$6</f>
        <v>28.531253222948489</v>
      </c>
    </row>
    <row r="64" spans="2:35" ht="16" thickTop="1" thickBot="1">
      <c r="B64" s="19"/>
      <c r="C64" s="13" t="s">
        <v>5</v>
      </c>
      <c r="D64" s="20" t="s">
        <v>20</v>
      </c>
      <c r="E64" s="25">
        <f>'[1]5.3 附表1-能源结构'!D211*E$6</f>
        <v>9.5829029999999999</v>
      </c>
      <c r="F64" s="25">
        <f>'[1]5.3 附表1-能源结构'!E211*F$6</f>
        <v>10.541588759906016</v>
      </c>
      <c r="G64" s="25">
        <f>'[1]5.3 附表1-能源结构'!F211*G$6</f>
        <v>11.690441878163105</v>
      </c>
      <c r="H64" s="25">
        <f>'[1]5.3 附表1-能源结构'!G211*H$6</f>
        <v>12.951748113254171</v>
      </c>
      <c r="I64" s="25">
        <f>'[1]5.3 附表1-能源结构'!H211*I$6</f>
        <v>13.981947487418282</v>
      </c>
      <c r="J64" s="25">
        <f>'[1]5.3 附表1-能源结构'!I211*J$6</f>
        <v>15.092545684096505</v>
      </c>
      <c r="K64" s="25">
        <f>'[1]5.3 附表1-能源结构'!J211*K$6</f>
        <v>16.391763068573482</v>
      </c>
      <c r="L64" s="18">
        <f>'[1]5.3 附表1-能源结构'!K211*L$6</f>
        <v>17.802823961138749</v>
      </c>
      <c r="M64" s="18">
        <f>'[1]5.3 附表1-能源结构'!L211*M$6</f>
        <v>19.335355018744377</v>
      </c>
      <c r="N64" s="18">
        <f>'[1]5.3 附表1-能源结构'!M211*N$6</f>
        <v>20.99981093347473</v>
      </c>
      <c r="O64" s="18">
        <f>'[1]5.3 附表1-能源结构'!N211*O$6</f>
        <v>22.807550270839585</v>
      </c>
      <c r="P64" s="18">
        <f>'[1]5.3 附表1-能源结构'!O211*P$6</f>
        <v>24.7709045602431</v>
      </c>
      <c r="Q64" s="18">
        <f>'[1]5.3 附表1-能源结构'!P211*Q$6</f>
        <v>26.903274258467029</v>
      </c>
      <c r="R64" s="18">
        <f>'[1]5.3 附表1-能源结构'!Q211*R$6</f>
        <v>29.219202000687552</v>
      </c>
      <c r="S64" s="18">
        <f>'[1]5.3 附表1-能源结构'!R211*S$6</f>
        <v>31.73449697989799</v>
      </c>
      <c r="T64" s="18">
        <f>'[1]5.3 附表1-能源结构'!S211*T$6</f>
        <v>34.466316384931616</v>
      </c>
      <c r="U64" s="18">
        <f>'[1]5.3 附表1-能源结构'!T211*U$6</f>
        <v>37.656684340087622</v>
      </c>
      <c r="V64" s="18">
        <f>'[1]5.3 附表1-能源结构'!U211*V$6</f>
        <v>41.142368092139627</v>
      </c>
      <c r="W64" s="18">
        <f>'[1]5.3 附表1-能源结构'!V211*W$6</f>
        <v>44.950703491096867</v>
      </c>
      <c r="X64" s="18">
        <f>'[1]5.3 附表1-能源结构'!W211*X$6</f>
        <v>49.111556724673385</v>
      </c>
      <c r="Y64" s="18">
        <f>'[1]5.3 附表1-能源结构'!X211*Y$6</f>
        <v>53.657558538511694</v>
      </c>
      <c r="Z64" s="18">
        <f>'[1]5.3 附表1-能源结构'!Y211*Z$6</f>
        <v>58.624360136956277</v>
      </c>
      <c r="AA64" s="18">
        <f>'[1]5.3 附表1-能源结构'!Z211*AA$6</f>
        <v>64.050912771233129</v>
      </c>
      <c r="AB64" s="18">
        <f>'[1]5.3 附表1-能源结构'!AA211*AB$6</f>
        <v>69.979773207655398</v>
      </c>
      <c r="AC64" s="18">
        <f>'[1]5.3 附表1-能源结构'!AB211*AC$6</f>
        <v>76.457437471434858</v>
      </c>
      <c r="AD64" s="18">
        <f>'[1]5.3 附表1-能源结构'!AC211*AD$6</f>
        <v>83.534705483425029</v>
      </c>
      <c r="AE64" s="18">
        <f>'[1]5.3 附表1-能源结构'!AD211*AE$6</f>
        <v>91.267079449394501</v>
      </c>
      <c r="AF64" s="18">
        <f>'[1]5.3 附表1-能源结构'!AE211*AF$6</f>
        <v>99.715199126126905</v>
      </c>
      <c r="AG64" s="18">
        <f>'[1]5.3 附表1-能源结构'!AF211*AG$6</f>
        <v>108.94531737784345</v>
      </c>
      <c r="AH64" s="18">
        <f>'[1]5.3 附表1-能源结构'!AG211*AH$6</f>
        <v>119.02981975241482</v>
      </c>
      <c r="AI64" s="18">
        <f>'[1]5.3 附表1-能源结构'!AH211*AI$6</f>
        <v>142.65626611474246</v>
      </c>
    </row>
    <row r="65" spans="2:35" ht="14.25" customHeight="1" thickTop="1" thickBot="1">
      <c r="B65" s="19"/>
      <c r="E65" s="26"/>
      <c r="F65" s="26"/>
      <c r="G65" s="26"/>
      <c r="H65" s="26"/>
      <c r="I65" s="26"/>
      <c r="J65" s="26"/>
      <c r="K65" s="26"/>
    </row>
    <row r="66" spans="2:35" ht="16" thickTop="1" thickBot="1">
      <c r="B66" s="19"/>
      <c r="C66" s="13" t="s">
        <v>9</v>
      </c>
      <c r="D66" s="14" t="s">
        <v>15</v>
      </c>
      <c r="E66" s="25">
        <f>'[1]5.3 附表1-能源结构'!D219*E$9</f>
        <v>0</v>
      </c>
      <c r="F66" s="25">
        <f>'[1]5.3 附表1-能源结构'!E219*F$9</f>
        <v>0</v>
      </c>
      <c r="G66" s="25">
        <f>'[1]5.3 附表1-能源结构'!F219*G$9</f>
        <v>0</v>
      </c>
      <c r="H66" s="25">
        <f>'[1]5.3 附表1-能源结构'!G219*H$9</f>
        <v>0</v>
      </c>
      <c r="I66" s="25">
        <f>'[1]5.3 附表1-能源结构'!H219*I$9</f>
        <v>0</v>
      </c>
      <c r="J66" s="25">
        <f>'[1]5.3 附表1-能源结构'!I219*J$9</f>
        <v>0</v>
      </c>
      <c r="K66" s="25">
        <f>'[1]5.3 附表1-能源结构'!J219*K$9</f>
        <v>0</v>
      </c>
      <c r="L66" s="18">
        <f>'[1]5.3 附表1-能源结构'!K219*L$9</f>
        <v>0</v>
      </c>
      <c r="M66" s="18">
        <f>'[1]5.3 附表1-能源结构'!L219*M$9</f>
        <v>0</v>
      </c>
      <c r="N66" s="18">
        <f>'[1]5.3 附表1-能源结构'!M219*N$9</f>
        <v>0</v>
      </c>
      <c r="O66" s="18">
        <f>'[1]5.3 附表1-能源结构'!N219*O$9</f>
        <v>0</v>
      </c>
      <c r="P66" s="18">
        <f>'[1]5.3 附表1-能源结构'!O219*P$9</f>
        <v>0</v>
      </c>
      <c r="Q66" s="18">
        <f>'[1]5.3 附表1-能源结构'!P219*Q$9</f>
        <v>0</v>
      </c>
      <c r="R66" s="18">
        <f>'[1]5.3 附表1-能源结构'!Q219*R$9</f>
        <v>0</v>
      </c>
      <c r="S66" s="18">
        <f>'[1]5.3 附表1-能源结构'!R219*S$9</f>
        <v>0</v>
      </c>
      <c r="T66" s="18">
        <f>'[1]5.3 附表1-能源结构'!S219*T$9</f>
        <v>0</v>
      </c>
      <c r="U66" s="18">
        <f>'[1]5.3 附表1-能源结构'!T219*U$9</f>
        <v>0</v>
      </c>
      <c r="V66" s="18">
        <f>'[1]5.3 附表1-能源结构'!U219*V$9</f>
        <v>0</v>
      </c>
      <c r="W66" s="18">
        <f>'[1]5.3 附表1-能源结构'!V219*W$9</f>
        <v>0</v>
      </c>
      <c r="X66" s="18">
        <f>'[1]5.3 附表1-能源结构'!W219*X$9</f>
        <v>0</v>
      </c>
      <c r="Y66" s="18">
        <f>'[1]5.3 附表1-能源结构'!X219*Y$9</f>
        <v>0</v>
      </c>
      <c r="Z66" s="18">
        <f>'[1]5.3 附表1-能源结构'!Y219*Z$9</f>
        <v>0</v>
      </c>
      <c r="AA66" s="18">
        <f>'[1]5.3 附表1-能源结构'!Z219*AA$9</f>
        <v>0</v>
      </c>
      <c r="AB66" s="18">
        <f>'[1]5.3 附表1-能源结构'!AA219*AB$9</f>
        <v>0</v>
      </c>
      <c r="AC66" s="18">
        <f>'[1]5.3 附表1-能源结构'!AB219*AC$9</f>
        <v>0</v>
      </c>
      <c r="AD66" s="18">
        <f>'[1]5.3 附表1-能源结构'!AC219*AD$9</f>
        <v>0</v>
      </c>
      <c r="AE66" s="18">
        <f>'[1]5.3 附表1-能源结构'!AD219*AE$9</f>
        <v>0</v>
      </c>
      <c r="AF66" s="18">
        <f>'[1]5.3 附表1-能源结构'!AE219*AF$9</f>
        <v>0</v>
      </c>
      <c r="AG66" s="18">
        <f>'[1]5.3 附表1-能源结构'!AF219*AG$9</f>
        <v>0</v>
      </c>
      <c r="AH66" s="18">
        <f>'[1]5.3 附表1-能源结构'!AG219*AH$9</f>
        <v>0</v>
      </c>
      <c r="AI66" s="18">
        <f>'[1]5.3 附表1-能源结构'!AH219*AI$9</f>
        <v>0</v>
      </c>
    </row>
    <row r="67" spans="2:35" ht="16" thickTop="1" thickBot="1">
      <c r="B67" s="19"/>
      <c r="C67" s="13" t="s">
        <v>9</v>
      </c>
      <c r="D67" s="14" t="s">
        <v>16</v>
      </c>
      <c r="E67" s="25">
        <f>'[1]5.3 附表1-能源结构'!D220*E$9</f>
        <v>9.5829029999999999</v>
      </c>
      <c r="F67" s="25">
        <f>'[1]5.3 附表1-能源结构'!E220*F$9</f>
        <v>11.355072452949413</v>
      </c>
      <c r="G67" s="25">
        <f>'[1]5.3 附表1-能源结构'!F220*G$9</f>
        <v>13.277798625595258</v>
      </c>
      <c r="H67" s="25">
        <f>'[1]5.3 附表1-能源结构'!G220*H$9</f>
        <v>15.163964591861362</v>
      </c>
      <c r="I67" s="25">
        <f>'[1]5.3 附表1-能源结构'!H220*I$9</f>
        <v>16.589226193688049</v>
      </c>
      <c r="J67" s="25">
        <f>'[1]5.3 附表1-能源结构'!I220*J$9</f>
        <v>17.905932119352801</v>
      </c>
      <c r="K67" s="25">
        <f>'[1]5.3 附表1-能源结构'!J220*K$9</f>
        <v>19.161431856427889</v>
      </c>
      <c r="L67" s="18">
        <f>'[1]5.3 附表1-能源结构'!K220*L$9</f>
        <v>20.324927567553647</v>
      </c>
      <c r="M67" s="18">
        <f>'[1]5.3 附表1-能源结构'!L220*M$9</f>
        <v>21.4005319373038</v>
      </c>
      <c r="N67" s="18">
        <f>'[1]5.3 附表1-能源结构'!M220*N$9</f>
        <v>22.392138419597135</v>
      </c>
      <c r="O67" s="18">
        <f>'[1]5.3 附表1-能源结构'!N220*O$9</f>
        <v>23.303426028241514</v>
      </c>
      <c r="P67" s="18">
        <f>'[1]5.3 附表1-能源结构'!O220*P$9</f>
        <v>24.137863434259184</v>
      </c>
      <c r="Q67" s="18">
        <f>'[1]5.3 附表1-能源结构'!P220*Q$9</f>
        <v>24.898712342406874</v>
      </c>
      <c r="R67" s="18">
        <f>'[1]5.3 附表1-能源结构'!Q220*R$9</f>
        <v>25.589030114112091</v>
      </c>
      <c r="S67" s="18">
        <f>'[1]5.3 附表1-能源结构'!R220*S$9</f>
        <v>26.211671598351042</v>
      </c>
      <c r="T67" s="18">
        <f>'[1]5.3 附表1-能源结构'!S220*T$9</f>
        <v>26.769290125736411</v>
      </c>
      <c r="U67" s="18">
        <f>'[1]5.3 附表1-能源结构'!T220*U$9</f>
        <v>27.264337614195078</v>
      </c>
      <c r="V67" s="18">
        <f>'[1]5.3 附表1-能源结构'!U220*V$9</f>
        <v>27.699063727024114</v>
      </c>
      <c r="W67" s="18">
        <f>'[1]5.3 附表1-能源结构'!V220*W$9</f>
        <v>28.075514015735052</v>
      </c>
      <c r="X67" s="18">
        <f>'[1]5.3 附表1-能源结构'!W220*X$9</f>
        <v>28.395526970839352</v>
      </c>
      <c r="Y67" s="18">
        <f>'[1]5.3 附表1-能源结构'!X220*Y$9</f>
        <v>28.660729893490281</v>
      </c>
      <c r="Z67" s="18">
        <f>'[1]5.3 附表1-能源结构'!Y220*Z$9</f>
        <v>28.872533489564681</v>
      </c>
      <c r="AA67" s="18">
        <f>'[1]5.3 附表1-能源结构'!Z220*AA$9</f>
        <v>29.032125075215571</v>
      </c>
      <c r="AB67" s="18">
        <f>'[1]5.3 附表1-能源结构'!AA220*AB$9</f>
        <v>29.140460269013719</v>
      </c>
      <c r="AC67" s="18">
        <f>'[1]5.3 附表1-能源结构'!AB220*AC$9</f>
        <v>29.198253030365791</v>
      </c>
      <c r="AD67" s="18">
        <f>'[1]5.3 附表1-能源结构'!AC220*AD$9</f>
        <v>29.205963886775606</v>
      </c>
      <c r="AE67" s="18">
        <f>'[1]5.3 附表1-能源结构'!AD220*AE$9</f>
        <v>29.163786173509965</v>
      </c>
      <c r="AF67" s="18">
        <f>'[1]5.3 附表1-能源结构'!AE220*AF$9</f>
        <v>29.071630088125634</v>
      </c>
      <c r="AG67" s="18">
        <f>'[1]5.3 附表1-能源结构'!AF220*AG$9</f>
        <v>28.929104338871397</v>
      </c>
      <c r="AH67" s="18">
        <f>'[1]5.3 附表1-能源结构'!AG220*AH$9</f>
        <v>28.735495139930563</v>
      </c>
      <c r="AI67" s="18">
        <f>'[1]5.3 附表1-能源结构'!AH220*AI$9</f>
        <v>0</v>
      </c>
    </row>
    <row r="68" spans="2:35" ht="16" thickTop="1" thickBot="1">
      <c r="B68" s="19"/>
      <c r="C68" s="13" t="s">
        <v>9</v>
      </c>
      <c r="D68" s="14" t="s">
        <v>17</v>
      </c>
      <c r="E68" s="25">
        <f>'[1]5.3 附表1-能源结构'!D221*E$9</f>
        <v>0</v>
      </c>
      <c r="F68" s="25">
        <f>'[1]5.3 附表1-能源结构'!E221*F$9</f>
        <v>0</v>
      </c>
      <c r="G68" s="25">
        <f>'[1]5.3 附表1-能源结构'!F221*G$9</f>
        <v>0</v>
      </c>
      <c r="H68" s="25">
        <f>'[1]5.3 附表1-能源结构'!G221*H$9</f>
        <v>0</v>
      </c>
      <c r="I68" s="25">
        <f>'[1]5.3 附表1-能源结构'!H221*I$9</f>
        <v>0</v>
      </c>
      <c r="J68" s="25">
        <f>'[1]5.3 附表1-能源结构'!I221*J$9</f>
        <v>0</v>
      </c>
      <c r="K68" s="25">
        <f>'[1]5.3 附表1-能源结构'!J221*K$9</f>
        <v>0</v>
      </c>
      <c r="L68" s="18">
        <f>'[1]5.3 附表1-能源结构'!K221*L$9</f>
        <v>0</v>
      </c>
      <c r="M68" s="18">
        <f>'[1]5.3 附表1-能源结构'!L221*M$9</f>
        <v>0</v>
      </c>
      <c r="N68" s="18">
        <f>'[1]5.3 附表1-能源结构'!M221*N$9</f>
        <v>0</v>
      </c>
      <c r="O68" s="18">
        <f>'[1]5.3 附表1-能源结构'!N221*O$9</f>
        <v>0</v>
      </c>
      <c r="P68" s="18">
        <f>'[1]5.3 附表1-能源结构'!O221*P$9</f>
        <v>0</v>
      </c>
      <c r="Q68" s="18">
        <f>'[1]5.3 附表1-能源结构'!P221*Q$9</f>
        <v>0</v>
      </c>
      <c r="R68" s="18">
        <f>'[1]5.3 附表1-能源结构'!Q221*R$9</f>
        <v>0</v>
      </c>
      <c r="S68" s="18">
        <f>'[1]5.3 附表1-能源结构'!R221*S$9</f>
        <v>0</v>
      </c>
      <c r="T68" s="18">
        <f>'[1]5.3 附表1-能源结构'!S221*T$9</f>
        <v>0</v>
      </c>
      <c r="U68" s="18">
        <f>'[1]5.3 附表1-能源结构'!T221*U$9</f>
        <v>0</v>
      </c>
      <c r="V68" s="18">
        <f>'[1]5.3 附表1-能源结构'!U221*V$9</f>
        <v>0</v>
      </c>
      <c r="W68" s="18">
        <f>'[1]5.3 附表1-能源结构'!V221*W$9</f>
        <v>0</v>
      </c>
      <c r="X68" s="18">
        <f>'[1]5.3 附表1-能源结构'!W221*X$9</f>
        <v>0</v>
      </c>
      <c r="Y68" s="18">
        <f>'[1]5.3 附表1-能源结构'!X221*Y$9</f>
        <v>0</v>
      </c>
      <c r="Z68" s="18">
        <f>'[1]5.3 附表1-能源结构'!Y221*Z$9</f>
        <v>0</v>
      </c>
      <c r="AA68" s="18">
        <f>'[1]5.3 附表1-能源结构'!Z221*AA$9</f>
        <v>0</v>
      </c>
      <c r="AB68" s="18">
        <f>'[1]5.3 附表1-能源结构'!AA221*AB$9</f>
        <v>0</v>
      </c>
      <c r="AC68" s="18">
        <f>'[1]5.3 附表1-能源结构'!AB221*AC$9</f>
        <v>0</v>
      </c>
      <c r="AD68" s="18">
        <f>'[1]5.3 附表1-能源结构'!AC221*AD$9</f>
        <v>0</v>
      </c>
      <c r="AE68" s="18">
        <f>'[1]5.3 附表1-能源结构'!AD221*AE$9</f>
        <v>0</v>
      </c>
      <c r="AF68" s="18">
        <f>'[1]5.3 附表1-能源结构'!AE221*AF$9</f>
        <v>0</v>
      </c>
      <c r="AG68" s="18">
        <f>'[1]5.3 附表1-能源结构'!AF221*AG$9</f>
        <v>0</v>
      </c>
      <c r="AH68" s="18">
        <f>'[1]5.3 附表1-能源结构'!AG221*AH$9</f>
        <v>0</v>
      </c>
      <c r="AI68" s="18">
        <f>'[1]5.3 附表1-能源结构'!AH221*AI$9</f>
        <v>0</v>
      </c>
    </row>
    <row r="69" spans="2:35" ht="16" thickTop="1" thickBot="1">
      <c r="B69" s="19"/>
      <c r="C69" s="13" t="s">
        <v>9</v>
      </c>
      <c r="D69" s="14" t="s">
        <v>18</v>
      </c>
      <c r="E69" s="25">
        <f>'[1]5.3 附表1-能源结构'!D222*E$9</f>
        <v>939.12449400000003</v>
      </c>
      <c r="F69" s="25">
        <f>'[1]5.3 附表1-能源结构'!E222*F$9</f>
        <v>1108.8118838212499</v>
      </c>
      <c r="G69" s="25">
        <f>'[1]5.3 附表1-能源结构'!F222*G$9</f>
        <v>1291.9209073151694</v>
      </c>
      <c r="H69" s="25">
        <f>'[1]5.3 附表1-能源结构'!G222*H$9</f>
        <v>1470.1596434898147</v>
      </c>
      <c r="I69" s="25">
        <f>'[1]5.3 附表1-能源结构'!H222*I$9</f>
        <v>1602.580118715274</v>
      </c>
      <c r="J69" s="25">
        <f>'[1]5.3 附表1-能源结构'!I222*J$9</f>
        <v>1723.5839536299668</v>
      </c>
      <c r="K69" s="25">
        <f>'[1]5.3 附表1-能源结构'!J222*K$9</f>
        <v>1837.8300741194062</v>
      </c>
      <c r="L69" s="18">
        <f>'[1]5.3 附表1-能源结构'!K222*L$9</f>
        <v>1942.4430205108133</v>
      </c>
      <c r="M69" s="18">
        <f>'[1]5.3 附表1-能源结构'!L222*M$9</f>
        <v>2037.913454170834</v>
      </c>
      <c r="N69" s="18">
        <f>'[1]5.3 附表1-能源结构'!M222*N$9</f>
        <v>2124.704925781326</v>
      </c>
      <c r="O69" s="18">
        <f>'[1]5.3 附表1-能源结构'!N222*O$9</f>
        <v>2203.2547551203756</v>
      </c>
      <c r="P69" s="18">
        <f>'[1]5.3 附表1-能源结构'!O222*P$9</f>
        <v>2273.9748314205863</v>
      </c>
      <c r="Q69" s="18">
        <f>'[1]5.3 附表1-能源结构'!P222*Q$9</f>
        <v>2337.2523335100241</v>
      </c>
      <c r="R69" s="18">
        <f>'[1]5.3 附表1-能源结构'!Q222*R$9</f>
        <v>2393.4503685049103</v>
      </c>
      <c r="S69" s="18">
        <f>'[1]5.3 附表1-能源结构'!R222*S$9</f>
        <v>2442.9085273545834</v>
      </c>
      <c r="T69" s="18">
        <f>'[1]5.3 附表1-能源结构'!S222*T$9</f>
        <v>2485.9433550345348</v>
      </c>
      <c r="U69" s="18">
        <f>'[1]5.3 附表1-能源结构'!T222*U$9</f>
        <v>2522.8487326375912</v>
      </c>
      <c r="V69" s="18">
        <f>'[1]5.3 附表1-能源结构'!U222*V$9</f>
        <v>2553.8961680216098</v>
      </c>
      <c r="W69" s="18">
        <f>'[1]5.3 附表1-能源结构'!V222*W$9</f>
        <v>2579.3349910287602</v>
      </c>
      <c r="X69" s="18">
        <f>'[1]5.3 附表1-能源结构'!W222*X$9</f>
        <v>2599.3924485903103</v>
      </c>
      <c r="Y69" s="18">
        <f>'[1]5.3 附表1-能源结构'!X222*Y$9</f>
        <v>2614.273694265069</v>
      </c>
      <c r="Z69" s="18">
        <f>'[1]5.3 附表1-能源结构'!Y222*Z$9</f>
        <v>2624.1616659215783</v>
      </c>
      <c r="AA69" s="18">
        <f>'[1]5.3 附表1-能源结构'!Z222*AA$9</f>
        <v>2629.2168443555124</v>
      </c>
      <c r="AB69" s="18">
        <f>'[1]5.3 附表1-能源结构'!AA222*AB$9</f>
        <v>2629.5768846252195</v>
      </c>
      <c r="AC69" s="18">
        <f>'[1]5.3 附表1-能源结构'!AB222*AC$9</f>
        <v>2625.3561107796691</v>
      </c>
      <c r="AD69" s="18">
        <f>'[1]5.3 附表1-能源结构'!AC222*AD$9</f>
        <v>2616.644863432884</v>
      </c>
      <c r="AE69" s="18">
        <f>'[1]5.3 附表1-能源结构'!AD222*AE$9</f>
        <v>2603.5086882947303</v>
      </c>
      <c r="AF69" s="18">
        <f>'[1]5.3 附表1-能源结构'!AE222*AF$9</f>
        <v>2585.9873522856637</v>
      </c>
      <c r="AG69" s="18">
        <f>'[1]5.3 附表1-能源结构'!AF222*AG$9</f>
        <v>2564.0936722273923</v>
      </c>
      <c r="AH69" s="18">
        <f>'[1]5.3 附表1-能源结构'!AG222*AH$9</f>
        <v>2537.8121392951725</v>
      </c>
      <c r="AI69" s="18">
        <f>'[1]5.3 附表1-能源结构'!AH222*AI$9</f>
        <v>2528.5766930229329</v>
      </c>
    </row>
    <row r="70" spans="2:35" ht="16" thickTop="1" thickBot="1">
      <c r="B70" s="19"/>
      <c r="C70" s="13" t="s">
        <v>9</v>
      </c>
      <c r="D70" s="14" t="s">
        <v>19</v>
      </c>
      <c r="E70" s="25">
        <f>'[1]5.3 附表1-能源结构'!D223*E$9</f>
        <v>0</v>
      </c>
      <c r="F70" s="25">
        <f>'[1]5.3 附表1-能源结构'!E223*F$9</f>
        <v>11.355072452949413</v>
      </c>
      <c r="G70" s="25">
        <f>'[1]5.3 附表1-能源结构'!F223*G$9</f>
        <v>13.277798625595258</v>
      </c>
      <c r="H70" s="25">
        <f>'[1]5.3 附表1-能源结构'!G223*H$9</f>
        <v>15.163964591861362</v>
      </c>
      <c r="I70" s="25">
        <f>'[1]5.3 附表1-能源结构'!H223*I$9</f>
        <v>16.589226193688049</v>
      </c>
      <c r="J70" s="25">
        <f>'[1]5.3 附表1-能源结构'!I223*J$9</f>
        <v>17.905932119352801</v>
      </c>
      <c r="K70" s="25">
        <f>'[1]5.3 附表1-能源结构'!J223*K$9</f>
        <v>19.161431856427889</v>
      </c>
      <c r="L70" s="18">
        <f>'[1]5.3 附表1-能源结构'!K223*L$9</f>
        <v>20.324927567553647</v>
      </c>
      <c r="M70" s="18">
        <f>'[1]5.3 附表1-能源结构'!L223*M$9</f>
        <v>21.4005319373038</v>
      </c>
      <c r="N70" s="18">
        <f>'[1]5.3 附表1-能源结构'!M223*N$9</f>
        <v>22.392138419597135</v>
      </c>
      <c r="O70" s="18">
        <f>'[1]5.3 附表1-能源结构'!N223*O$9</f>
        <v>23.303426028241514</v>
      </c>
      <c r="P70" s="18">
        <f>'[1]5.3 附表1-能源结构'!O223*P$9</f>
        <v>24.137863434259184</v>
      </c>
      <c r="Q70" s="18">
        <f>'[1]5.3 附表1-能源结构'!P223*Q$9</f>
        <v>24.898712342406874</v>
      </c>
      <c r="R70" s="18">
        <f>'[1]5.3 附表1-能源结构'!Q223*R$9</f>
        <v>25.589030114112091</v>
      </c>
      <c r="S70" s="18">
        <f>'[1]5.3 附表1-能源结构'!R223*S$9</f>
        <v>26.211671598351042</v>
      </c>
      <c r="T70" s="18">
        <f>'[1]5.3 附表1-能源结构'!S223*T$9</f>
        <v>26.769290125736411</v>
      </c>
      <c r="U70" s="18">
        <f>'[1]5.3 附表1-能源结构'!T223*U$9</f>
        <v>27.264337614195078</v>
      </c>
      <c r="V70" s="18">
        <f>'[1]5.3 附表1-能源结构'!U223*V$9</f>
        <v>27.699063727024114</v>
      </c>
      <c r="W70" s="18">
        <f>'[1]5.3 附表1-能源结构'!V223*W$9</f>
        <v>28.075514015735052</v>
      </c>
      <c r="X70" s="18">
        <f>'[1]5.3 附表1-能源结构'!W223*X$9</f>
        <v>28.395526970839352</v>
      </c>
      <c r="Y70" s="18">
        <f>'[1]5.3 附表1-能源结构'!X223*Y$9</f>
        <v>28.660729893490281</v>
      </c>
      <c r="Z70" s="18">
        <f>'[1]5.3 附表1-能源结构'!Y223*Z$9</f>
        <v>28.872533489564681</v>
      </c>
      <c r="AA70" s="18">
        <f>'[1]5.3 附表1-能源结构'!Z223*AA$9</f>
        <v>29.032125075215571</v>
      </c>
      <c r="AB70" s="18">
        <f>'[1]5.3 附表1-能源结构'!AA223*AB$9</f>
        <v>29.140460269013719</v>
      </c>
      <c r="AC70" s="18">
        <f>'[1]5.3 附表1-能源结构'!AB223*AC$9</f>
        <v>29.198253030365791</v>
      </c>
      <c r="AD70" s="18">
        <f>'[1]5.3 附表1-能源结构'!AC223*AD$9</f>
        <v>29.205963886775606</v>
      </c>
      <c r="AE70" s="18">
        <f>'[1]5.3 附表1-能源结构'!AD223*AE$9</f>
        <v>29.163786173509965</v>
      </c>
      <c r="AF70" s="18">
        <f>'[1]5.3 附表1-能源结构'!AE223*AF$9</f>
        <v>29.071630088125634</v>
      </c>
      <c r="AG70" s="18">
        <f>'[1]5.3 附表1-能源结构'!AF223*AG$9</f>
        <v>28.929104338871397</v>
      </c>
      <c r="AH70" s="18">
        <f>'[1]5.3 附表1-能源结构'!AG223*AH$9</f>
        <v>28.735495139930563</v>
      </c>
      <c r="AI70" s="18">
        <f>'[1]5.3 附表1-能源结构'!AH223*AI$9</f>
        <v>28.733826057078783</v>
      </c>
    </row>
    <row r="71" spans="2:35" ht="16" thickTop="1" thickBot="1">
      <c r="B71" s="19"/>
      <c r="C71" s="13" t="s">
        <v>9</v>
      </c>
      <c r="D71" s="20" t="s">
        <v>20</v>
      </c>
      <c r="E71" s="25">
        <f>'[1]5.3 附表1-能源结构'!D224*E$9</f>
        <v>9.5829029999999999</v>
      </c>
      <c r="F71" s="25">
        <f>'[1]5.3 附表1-能源结构'!E224*F$9</f>
        <v>12.230605950735651</v>
      </c>
      <c r="G71" s="25">
        <f>'[1]5.3 附表1-能源结构'!F224*G$9</f>
        <v>15.404308470920048</v>
      </c>
      <c r="H71" s="25">
        <f>'[1]5.3 附表1-能源结构'!G224*H$9</f>
        <v>18.949028772217972</v>
      </c>
      <c r="I71" s="25">
        <f>'[1]5.3 附表1-能源结构'!H224*I$9</f>
        <v>22.328440265143033</v>
      </c>
      <c r="J71" s="25">
        <f>'[1]5.3 附表1-能源结构'!I224*J$9</f>
        <v>25.958958034357376</v>
      </c>
      <c r="K71" s="25">
        <f>'[1]5.3 附表1-能源结构'!J224*K$9</f>
        <v>29.921016671722967</v>
      </c>
      <c r="L71" s="18">
        <f>'[1]5.3 附表1-能源结构'!K224*L$9</f>
        <v>34.184990077310246</v>
      </c>
      <c r="M71" s="18">
        <f>'[1]5.3 附表1-能源结构'!L224*M$9</f>
        <v>38.769400418399165</v>
      </c>
      <c r="N71" s="18">
        <f>'[1]5.3 附表1-能源结构'!M224*N$9</f>
        <v>43.69363241691395</v>
      </c>
      <c r="O71" s="18">
        <f>'[1]5.3 附表1-能源结构'!N224*O$9</f>
        <v>48.97792931209036</v>
      </c>
      <c r="P71" s="18">
        <f>'[1]5.3 附表1-能源结构'!O224*P$9</f>
        <v>54.643377541039037</v>
      </c>
      <c r="Q71" s="18">
        <f>'[1]5.3 附表1-能源结构'!P224*Q$9</f>
        <v>60.711877281724469</v>
      </c>
      <c r="R71" s="18">
        <f>'[1]5.3 附表1-能源结构'!Q224*R$9</f>
        <v>67.206095399726792</v>
      </c>
      <c r="S71" s="18">
        <f>'[1]5.3 附表1-能源结构'!R224*S$9</f>
        <v>74.149396615028891</v>
      </c>
      <c r="T71" s="18">
        <f>'[1]5.3 附表1-能源结构'!S224*T$9</f>
        <v>81.565747833609109</v>
      </c>
      <c r="U71" s="18">
        <f>'[1]5.3 附表1-能源结构'!T224*U$9</f>
        <v>89.479589541589831</v>
      </c>
      <c r="V71" s="18">
        <f>'[1]5.3 附表1-能源结构'!U224*V$9</f>
        <v>97.915666902055037</v>
      </c>
      <c r="W71" s="18">
        <f>'[1]5.3 附表1-能源结构'!V224*W$9</f>
        <v>106.89881168438497</v>
      </c>
      <c r="X71" s="18">
        <f>'[1]5.3 附表1-能源结构'!W224*X$9</f>
        <v>116.45366434267886</v>
      </c>
      <c r="Y71" s="18">
        <f>'[1]5.3 附表1-能源结构'!X224*Y$9</f>
        <v>126.60432338313758</v>
      </c>
      <c r="Z71" s="18">
        <f>'[1]5.3 附表1-能源结构'!Y224*Z$9</f>
        <v>137.37390654772059</v>
      </c>
      <c r="AA71" s="18">
        <f>'[1]5.3 附表1-能源结构'!Z224*AA$9</f>
        <v>148.78400520612971</v>
      </c>
      <c r="AB71" s="18">
        <f>'[1]5.3 附表1-能源结构'!AA224*AB$9</f>
        <v>160.85400958607627</v>
      </c>
      <c r="AC71" s="18">
        <f>'[1]5.3 附表1-能源结构'!AB224*AC$9</f>
        <v>173.60027795801045</v>
      </c>
      <c r="AD71" s="18">
        <f>'[1]5.3 附表1-能源结构'!AC224*AD$9</f>
        <v>187.03511747534461</v>
      </c>
      <c r="AE71" s="18">
        <f>'[1]5.3 附表1-能源结构'!AD224*AE$9</f>
        <v>201.16553787522503</v>
      </c>
      <c r="AF71" s="18">
        <f>'[1]5.3 附表1-能源结构'!AE224*AF$9</f>
        <v>215.99173145292434</v>
      </c>
      <c r="AG71" s="18">
        <f>'[1]5.3 附表1-能源结构'!AF224*AG$9</f>
        <v>231.50522337697723</v>
      </c>
      <c r="AH71" s="18">
        <f>'[1]5.3 附表1-能源结构'!AG224*AH$9</f>
        <v>247.68662520296903</v>
      </c>
      <c r="AI71" s="18">
        <f>'[1]5.3 附表1-能源结构'!AH224*AI$9</f>
        <v>287.33826057078784</v>
      </c>
    </row>
    <row r="72" spans="2:35" ht="14.25" customHeight="1" thickTop="1" thickBot="1">
      <c r="B72" s="19"/>
      <c r="E72" s="26"/>
      <c r="F72" s="26"/>
      <c r="G72" s="26"/>
      <c r="H72" s="26"/>
      <c r="I72" s="26"/>
      <c r="J72" s="26"/>
      <c r="K72" s="26"/>
    </row>
    <row r="73" spans="2:35" ht="16" thickTop="1" thickBot="1">
      <c r="B73" s="19"/>
      <c r="C73" s="13" t="s">
        <v>11</v>
      </c>
      <c r="D73" s="14" t="s">
        <v>15</v>
      </c>
      <c r="E73" s="25">
        <f>'[1]5.3 附表1-能源结构'!D232*E$12</f>
        <v>0</v>
      </c>
      <c r="F73" s="25">
        <f>'[1]5.3 附表1-能源结构'!E232*F$12</f>
        <v>0</v>
      </c>
      <c r="G73" s="25">
        <f>'[1]5.3 附表1-能源结构'!F232*G$12</f>
        <v>0</v>
      </c>
      <c r="H73" s="25">
        <f>'[1]5.3 附表1-能源结构'!G232*H$12</f>
        <v>0</v>
      </c>
      <c r="I73" s="25">
        <f>'[1]5.3 附表1-能源结构'!H232*I$12</f>
        <v>0</v>
      </c>
      <c r="J73" s="25">
        <f>'[1]5.3 附表1-能源结构'!I232*J$12</f>
        <v>0</v>
      </c>
      <c r="K73" s="25">
        <f>'[1]5.3 附表1-能源结构'!J232*K$12</f>
        <v>0</v>
      </c>
      <c r="L73" s="18">
        <f>'[1]5.3 附表1-能源结构'!K232*L$12</f>
        <v>0</v>
      </c>
      <c r="M73" s="18">
        <f>'[1]5.3 附表1-能源结构'!L232*M$12</f>
        <v>0</v>
      </c>
      <c r="N73" s="18">
        <f>'[1]5.3 附表1-能源结构'!M232*N$12</f>
        <v>0</v>
      </c>
      <c r="O73" s="18">
        <f>'[1]5.3 附表1-能源结构'!N232*O$12</f>
        <v>0</v>
      </c>
      <c r="P73" s="18">
        <f>'[1]5.3 附表1-能源结构'!O232*P$12</f>
        <v>0</v>
      </c>
      <c r="Q73" s="18">
        <f>'[1]5.3 附表1-能源结构'!P232*Q$12</f>
        <v>0</v>
      </c>
      <c r="R73" s="18">
        <f>'[1]5.3 附表1-能源结构'!Q232*R$12</f>
        <v>0</v>
      </c>
      <c r="S73" s="18">
        <f>'[1]5.3 附表1-能源结构'!R232*S$12</f>
        <v>0</v>
      </c>
      <c r="T73" s="18">
        <f>'[1]5.3 附表1-能源结构'!S232*T$12</f>
        <v>0</v>
      </c>
      <c r="U73" s="18">
        <f>'[1]5.3 附表1-能源结构'!T232*U$12</f>
        <v>0</v>
      </c>
      <c r="V73" s="18">
        <f>'[1]5.3 附表1-能源结构'!U232*V$12</f>
        <v>0</v>
      </c>
      <c r="W73" s="18">
        <f>'[1]5.3 附表1-能源结构'!V232*W$12</f>
        <v>0</v>
      </c>
      <c r="X73" s="18">
        <f>'[1]5.3 附表1-能源结构'!W232*X$12</f>
        <v>0</v>
      </c>
      <c r="Y73" s="18">
        <f>'[1]5.3 附表1-能源结构'!X232*Y$12</f>
        <v>0</v>
      </c>
      <c r="Z73" s="18">
        <f>'[1]5.3 附表1-能源结构'!Y232*Z$12</f>
        <v>0</v>
      </c>
      <c r="AA73" s="18">
        <f>'[1]5.3 附表1-能源结构'!Z232*AA$12</f>
        <v>0</v>
      </c>
      <c r="AB73" s="18">
        <f>'[1]5.3 附表1-能源结构'!AA232*AB$12</f>
        <v>0</v>
      </c>
      <c r="AC73" s="18">
        <f>'[1]5.3 附表1-能源结构'!AB232*AC$12</f>
        <v>0</v>
      </c>
      <c r="AD73" s="18">
        <f>'[1]5.3 附表1-能源结构'!AC232*AD$12</f>
        <v>0</v>
      </c>
      <c r="AE73" s="18">
        <f>'[1]5.3 附表1-能源结构'!AD232*AE$12</f>
        <v>0</v>
      </c>
      <c r="AF73" s="18">
        <f>'[1]5.3 附表1-能源结构'!AE232*AF$12</f>
        <v>0</v>
      </c>
      <c r="AG73" s="18">
        <f>'[1]5.3 附表1-能源结构'!AF232*AG$12</f>
        <v>0</v>
      </c>
      <c r="AH73" s="21">
        <f>'[1]5.3 附表1-能源结构'!AF194*AH$10</f>
        <v>0</v>
      </c>
      <c r="AI73" s="21">
        <f>'[1]5.3 附表1-能源结构'!AG194*AI$10</f>
        <v>0</v>
      </c>
    </row>
    <row r="74" spans="2:35" ht="16" thickTop="1" thickBot="1">
      <c r="B74" s="19"/>
      <c r="C74" s="13" t="s">
        <v>11</v>
      </c>
      <c r="D74" s="14" t="s">
        <v>16</v>
      </c>
      <c r="E74" s="25">
        <f>'[1]5.3 附表1-能源结构'!D233*E$12</f>
        <v>9.5829029999999999</v>
      </c>
      <c r="F74" s="25">
        <f>'[1]5.3 附表1-能源结构'!E233*F$12</f>
        <v>10.103151898392193</v>
      </c>
      <c r="G74" s="25">
        <f>'[1]5.3 附表1-能源结构'!F233*G$12</f>
        <v>10.738226303600932</v>
      </c>
      <c r="H74" s="25">
        <f>'[1]5.3 附表1-能源结构'!G233*H$12</f>
        <v>11.401998435330015</v>
      </c>
      <c r="I74" s="25">
        <f>'[1]5.3 附表1-能源结构'!H233*I$12</f>
        <v>11.796981232076053</v>
      </c>
      <c r="J74" s="25">
        <f>'[1]5.3 附表1-能源结构'!I233*J$12</f>
        <v>12.204401494494748</v>
      </c>
      <c r="K74" s="25">
        <f>'[1]5.3 附表1-能源结构'!J233*K$12</f>
        <v>12.627180769746202</v>
      </c>
      <c r="L74" s="18">
        <f>'[1]5.3 附表1-能源结构'!K233*L$12</f>
        <v>13.06460577061253</v>
      </c>
      <c r="M74" s="18">
        <f>'[1]5.3 附表1-能源结构'!L233*M$12</f>
        <v>13.517183847598695</v>
      </c>
      <c r="N74" s="18">
        <f>'[1]5.3 附表1-能源结构'!M233*N$12</f>
        <v>13.985439926613001</v>
      </c>
      <c r="O74" s="18">
        <f>'[1]5.3 附表1-能源结构'!N233*O$12</f>
        <v>14.469917117806141</v>
      </c>
      <c r="P74" s="18">
        <f>'[1]5.3 附表1-能源结构'!O233*P$12</f>
        <v>14.97117734550139</v>
      </c>
      <c r="Q74" s="18">
        <f>'[1]5.3 附表1-能源结构'!P233*Q$12</f>
        <v>15.489801999946531</v>
      </c>
      <c r="R74" s="18">
        <f>'[1]5.3 附表1-能源结构'!Q233*R$12</f>
        <v>16.026392611643463</v>
      </c>
      <c r="S74" s="18">
        <f>'[1]5.3 附表1-能源结构'!R233*S$12</f>
        <v>16.581571549037669</v>
      </c>
      <c r="T74" s="18">
        <f>'[1]5.3 附表1-能源结构'!S233*T$12</f>
        <v>17.155982740376675</v>
      </c>
      <c r="U74" s="18">
        <f>'[1]5.3 附表1-能源结构'!T233*U$12</f>
        <v>17.750292420574812</v>
      </c>
      <c r="V74" s="18">
        <f>'[1]5.3 附表1-能源结构'!U233*V$12</f>
        <v>18.365189903950554</v>
      </c>
      <c r="W74" s="18">
        <f>'[1]5.3 附表1-能源结构'!V233*W$12</f>
        <v>19.001388383732621</v>
      </c>
      <c r="X74" s="18">
        <f>'[1]5.3 附表1-能源结构'!W233*X$12</f>
        <v>19.659625759262227</v>
      </c>
      <c r="Y74" s="18">
        <f>'[1]5.3 附表1-能源结构'!X233*Y$12</f>
        <v>20.340665491850913</v>
      </c>
      <c r="Z74" s="18">
        <f>'[1]5.3 附表1-能源结构'!Y233*Z$12</f>
        <v>21.045297490286572</v>
      </c>
      <c r="AA74" s="18">
        <f>'[1]5.3 附表1-能源结构'!Z233*AA$12</f>
        <v>21.77433902701479</v>
      </c>
      <c r="AB74" s="18">
        <f>'[1]5.3 附表1-能源结构'!AA233*AB$12</f>
        <v>22.528635686058117</v>
      </c>
      <c r="AC74" s="18">
        <f>'[1]5.3 附表1-能源结构'!AB233*AC$12</f>
        <v>23.30906234377272</v>
      </c>
      <c r="AD74" s="18">
        <f>'[1]5.3 附表1-能源结构'!AC233*AD$12</f>
        <v>24.116524183579976</v>
      </c>
      <c r="AE74" s="18">
        <f>'[1]5.3 附表1-能源结构'!AD233*AE$12</f>
        <v>24.951957745849896</v>
      </c>
      <c r="AF74" s="18">
        <f>'[1]5.3 附表1-能源结构'!AE233*AF$12</f>
        <v>25.816332014154156</v>
      </c>
      <c r="AG74" s="18">
        <f>'[1]5.3 附表1-能源结构'!AF233*AG$12</f>
        <v>26.710649539148594</v>
      </c>
      <c r="AH74" s="18">
        <f>'[1]5.3 附表1-能源结构'!AG233*AH$12</f>
        <v>27.635947601388754</v>
      </c>
      <c r="AI74" s="18">
        <f>'[1]5.3 附表1-能源结构'!AH233*AI$12</f>
        <v>30.294649014053086</v>
      </c>
    </row>
    <row r="75" spans="2:35" ht="16" thickTop="1" thickBot="1">
      <c r="B75" s="19"/>
      <c r="C75" s="13" t="s">
        <v>11</v>
      </c>
      <c r="D75" s="14" t="s">
        <v>17</v>
      </c>
      <c r="E75" s="25">
        <f>'[1]5.3 附表1-能源结构'!D234*E$12</f>
        <v>0</v>
      </c>
      <c r="F75" s="25">
        <f>'[1]5.3 附表1-能源结构'!E234*F$12</f>
        <v>0</v>
      </c>
      <c r="G75" s="25">
        <f>'[1]5.3 附表1-能源结构'!F234*G$12</f>
        <v>0</v>
      </c>
      <c r="H75" s="25">
        <f>'[1]5.3 附表1-能源结构'!G234*H$12</f>
        <v>0</v>
      </c>
      <c r="I75" s="25">
        <f>'[1]5.3 附表1-能源结构'!H234*I$12</f>
        <v>0</v>
      </c>
      <c r="J75" s="25">
        <f>'[1]5.3 附表1-能源结构'!I234*J$12</f>
        <v>0</v>
      </c>
      <c r="K75" s="25">
        <f>'[1]5.3 附表1-能源结构'!J234*K$12</f>
        <v>0</v>
      </c>
      <c r="L75" s="18">
        <f>'[1]5.3 附表1-能源结构'!K234*L$12</f>
        <v>0</v>
      </c>
      <c r="M75" s="18">
        <f>'[1]5.3 附表1-能源结构'!L234*M$12</f>
        <v>0</v>
      </c>
      <c r="N75" s="18">
        <f>'[1]5.3 附表1-能源结构'!M234*N$12</f>
        <v>0</v>
      </c>
      <c r="O75" s="18">
        <f>'[1]5.3 附表1-能源结构'!N234*O$12</f>
        <v>0</v>
      </c>
      <c r="P75" s="18">
        <f>'[1]5.3 附表1-能源结构'!O234*P$12</f>
        <v>0</v>
      </c>
      <c r="Q75" s="18">
        <f>'[1]5.3 附表1-能源结构'!P234*Q$12</f>
        <v>0</v>
      </c>
      <c r="R75" s="18">
        <f>'[1]5.3 附表1-能源结构'!Q234*R$12</f>
        <v>0</v>
      </c>
      <c r="S75" s="18">
        <f>'[1]5.3 附表1-能源结构'!R234*S$12</f>
        <v>0</v>
      </c>
      <c r="T75" s="18">
        <f>'[1]5.3 附表1-能源结构'!S234*T$12</f>
        <v>0</v>
      </c>
      <c r="U75" s="18">
        <f>'[1]5.3 附表1-能源结构'!T234*U$12</f>
        <v>0</v>
      </c>
      <c r="V75" s="18">
        <f>'[1]5.3 附表1-能源结构'!U234*V$12</f>
        <v>0</v>
      </c>
      <c r="W75" s="18">
        <f>'[1]5.3 附表1-能源结构'!V234*W$12</f>
        <v>0</v>
      </c>
      <c r="X75" s="18">
        <f>'[1]5.3 附表1-能源结构'!W234*X$12</f>
        <v>0</v>
      </c>
      <c r="Y75" s="18">
        <f>'[1]5.3 附表1-能源结构'!X234*Y$12</f>
        <v>0</v>
      </c>
      <c r="Z75" s="18">
        <f>'[1]5.3 附表1-能源结构'!Y234*Z$12</f>
        <v>0</v>
      </c>
      <c r="AA75" s="18">
        <f>'[1]5.3 附表1-能源结构'!Z234*AA$12</f>
        <v>0</v>
      </c>
      <c r="AB75" s="18">
        <f>'[1]5.3 附表1-能源结构'!AA234*AB$12</f>
        <v>0</v>
      </c>
      <c r="AC75" s="18">
        <f>'[1]5.3 附表1-能源结构'!AB234*AC$12</f>
        <v>0</v>
      </c>
      <c r="AD75" s="18">
        <f>'[1]5.3 附表1-能源结构'!AC234*AD$12</f>
        <v>0</v>
      </c>
      <c r="AE75" s="18">
        <f>'[1]5.3 附表1-能源结构'!AD234*AE$12</f>
        <v>0</v>
      </c>
      <c r="AF75" s="18">
        <f>'[1]5.3 附表1-能源结构'!AE234*AF$12</f>
        <v>0</v>
      </c>
      <c r="AG75" s="18">
        <f>'[1]5.3 附表1-能源结构'!AF234*AG$12</f>
        <v>0</v>
      </c>
      <c r="AH75" s="21">
        <f>'[1]5.3 附表1-能源结构'!AF196*AH$10</f>
        <v>0</v>
      </c>
      <c r="AI75" s="21">
        <f>'[1]5.3 附表1-能源结构'!AG196*AI$10</f>
        <v>0</v>
      </c>
    </row>
    <row r="76" spans="2:35" ht="16" thickTop="1" thickBot="1">
      <c r="B76" s="19"/>
      <c r="C76" s="13" t="s">
        <v>11</v>
      </c>
      <c r="D76" s="14" t="s">
        <v>18</v>
      </c>
      <c r="E76" s="25">
        <f>'[1]5.3 附表1-能源结构'!D235*E$12</f>
        <v>939.12449400000003</v>
      </c>
      <c r="F76" s="25">
        <f>'[1]5.3 附表1-能源结构'!E235*F$12</f>
        <v>983.02144466869265</v>
      </c>
      <c r="G76" s="25">
        <f>'[1]5.3 附表1-能源结构'!F235*G$12</f>
        <v>1037.3341982226359</v>
      </c>
      <c r="H76" s="25">
        <f>'[1]5.3 附表1-能源结构'!G235*H$12</f>
        <v>1093.5714268167369</v>
      </c>
      <c r="I76" s="25">
        <f>'[1]5.3 附表1-能源结构'!H235*I$12</f>
        <v>1123.3551989865425</v>
      </c>
      <c r="J76" s="25">
        <f>'[1]5.3 附表1-能源结构'!I235*J$12</f>
        <v>1153.8324038421224</v>
      </c>
      <c r="K76" s="25">
        <f>'[1]5.3 附表1-能源结构'!J235*K$12</f>
        <v>1185.2574032481575</v>
      </c>
      <c r="L76" s="18">
        <f>'[1]5.3 附表1-能源结构'!K235*L$12</f>
        <v>1217.5382726959604</v>
      </c>
      <c r="M76" s="18">
        <f>'[1]5.3 附表1-能源结构'!L235*M$12</f>
        <v>1250.6983220834541</v>
      </c>
      <c r="N76" s="18">
        <f>'[1]5.3 附表1-能源结构'!M235*N$12</f>
        <v>1284.7614961611857</v>
      </c>
      <c r="O76" s="18">
        <f>'[1]5.3 附表1-能源结构'!N235*O$12</f>
        <v>1319.7523918227414</v>
      </c>
      <c r="P76" s="18">
        <f>'[1]5.3 附表1-能源结构'!O235*P$12</f>
        <v>1355.6962758660759</v>
      </c>
      <c r="Q76" s="18">
        <f>'[1]5.3 附表1-能源结构'!P235*Q$12</f>
        <v>1392.6191032385727</v>
      </c>
      <c r="R76" s="18">
        <f>'[1]5.3 附表1-能源结构'!Q235*R$12</f>
        <v>1430.5475357790174</v>
      </c>
      <c r="S76" s="18">
        <f>'[1]5.3 附表1-能源结构'!R235*S$12</f>
        <v>1469.5089614700155</v>
      </c>
      <c r="T76" s="18">
        <f>'[1]5.3 附表1-能源结构'!S235*T$12</f>
        <v>1509.5315142147526</v>
      </c>
      <c r="U76" s="18">
        <f>'[1]5.3 附表1-能源结构'!T235*U$12</f>
        <v>1550.6440941523849</v>
      </c>
      <c r="V76" s="18">
        <f>'[1]5.3 附表1-能源结构'!U235*V$12</f>
        <v>1592.8763885267228</v>
      </c>
      <c r="W76" s="18">
        <f>'[1]5.3 附表1-能源结构'!V235*W$12</f>
        <v>1636.2588931232817</v>
      </c>
      <c r="X76" s="18">
        <f>'[1]5.3 附表1-能源结构'!W235*X$12</f>
        <v>1680.8229342901775</v>
      </c>
      <c r="Y76" s="18">
        <f>'[1]5.3 附表1-能源结构'!X235*Y$12</f>
        <v>1726.6006915587679</v>
      </c>
      <c r="Z76" s="18">
        <f>'[1]5.3 附表1-能源结构'!Y235*Z$12</f>
        <v>1773.6252208803746</v>
      </c>
      <c r="AA76" s="18">
        <f>'[1]5.3 附表1-能源结构'!Z235*AA$12</f>
        <v>1821.9304784958658</v>
      </c>
      <c r="AB76" s="18">
        <f>'[1]5.3 附表1-能源结构'!AA235*AB$12</f>
        <v>1871.5513454553309</v>
      </c>
      <c r="AC76" s="18">
        <f>'[1]5.3 附表1-能源结构'!AB235*AC$12</f>
        <v>1922.523652805563</v>
      </c>
      <c r="AD76" s="18">
        <f>'[1]5.3 附表1-能源结构'!AC235*AD$12</f>
        <v>1974.8842074635249</v>
      </c>
      <c r="AE76" s="18">
        <f>'[1]5.3 附表1-能源结构'!AD235*AE$12</f>
        <v>2028.6708187944898</v>
      </c>
      <c r="AF76" s="18">
        <f>'[1]5.3 附表1-能源结构'!AE235*AF$12</f>
        <v>2083.9223259140458</v>
      </c>
      <c r="AG76" s="18">
        <f>'[1]5.3 附表1-能源结构'!AF235*AG$12</f>
        <v>2140.6786257336798</v>
      </c>
      <c r="AH76" s="18">
        <f>'[1]5.3 附表1-能源结构'!AG235*AH$12</f>
        <v>2198.9807017701905</v>
      </c>
      <c r="AI76" s="18">
        <f>'[1]5.3 附表1-能源结构'!AH235*AI$12</f>
        <v>2393.2772721101937</v>
      </c>
    </row>
    <row r="77" spans="2:35" ht="16" thickTop="1" thickBot="1">
      <c r="B77" s="19"/>
      <c r="C77" s="13" t="s">
        <v>11</v>
      </c>
      <c r="D77" s="14" t="s">
        <v>19</v>
      </c>
      <c r="E77" s="25">
        <f>'[1]5.3 附表1-能源结构'!D236*E$12</f>
        <v>0</v>
      </c>
      <c r="F77" s="25">
        <f>'[1]5.3 附表1-能源结构'!E236*F$12</f>
        <v>10.103151898392193</v>
      </c>
      <c r="G77" s="25">
        <f>'[1]5.3 附表1-能源结构'!F236*G$12</f>
        <v>10.738226303600932</v>
      </c>
      <c r="H77" s="25">
        <f>'[1]5.3 附表1-能源结构'!G236*H$12</f>
        <v>11.401998435330015</v>
      </c>
      <c r="I77" s="25">
        <f>'[1]5.3 附表1-能源结构'!H236*I$12</f>
        <v>11.796981232076053</v>
      </c>
      <c r="J77" s="25">
        <f>'[1]5.3 附表1-能源结构'!I236*J$12</f>
        <v>12.204401494494748</v>
      </c>
      <c r="K77" s="25">
        <f>'[1]5.3 附表1-能源结构'!J236*K$12</f>
        <v>12.627180769746202</v>
      </c>
      <c r="L77" s="18">
        <f>'[1]5.3 附表1-能源结构'!K236*L$12</f>
        <v>13.06460577061253</v>
      </c>
      <c r="M77" s="18">
        <f>'[1]5.3 附表1-能源结构'!L236*M$12</f>
        <v>13.517183847598695</v>
      </c>
      <c r="N77" s="18">
        <f>'[1]5.3 附表1-能源结构'!M236*N$12</f>
        <v>13.985439926613001</v>
      </c>
      <c r="O77" s="18">
        <f>'[1]5.3 附表1-能源结构'!N236*O$12</f>
        <v>14.469917117806141</v>
      </c>
      <c r="P77" s="18">
        <f>'[1]5.3 附表1-能源结构'!O236*P$12</f>
        <v>14.97117734550139</v>
      </c>
      <c r="Q77" s="18">
        <f>'[1]5.3 附表1-能源结构'!P236*Q$12</f>
        <v>15.489801999946531</v>
      </c>
      <c r="R77" s="18">
        <f>'[1]5.3 附表1-能源结构'!Q236*R$12</f>
        <v>16.026392611643463</v>
      </c>
      <c r="S77" s="18">
        <f>'[1]5.3 附表1-能源结构'!R236*S$12</f>
        <v>16.581571549037669</v>
      </c>
      <c r="T77" s="18">
        <f>'[1]5.3 附表1-能源结构'!S236*T$12</f>
        <v>17.155982740376675</v>
      </c>
      <c r="U77" s="18">
        <f>'[1]5.3 附表1-能源结构'!T236*U$12</f>
        <v>17.750292420574812</v>
      </c>
      <c r="V77" s="18">
        <f>'[1]5.3 附表1-能源结构'!U236*V$12</f>
        <v>18.365189903950554</v>
      </c>
      <c r="W77" s="18">
        <f>'[1]5.3 附表1-能源结构'!V236*W$12</f>
        <v>19.001388383732621</v>
      </c>
      <c r="X77" s="18">
        <f>'[1]5.3 附表1-能源结构'!W236*X$12</f>
        <v>19.659625759262227</v>
      </c>
      <c r="Y77" s="18">
        <f>'[1]5.3 附表1-能源结构'!X236*Y$12</f>
        <v>20.340665491850913</v>
      </c>
      <c r="Z77" s="18">
        <f>'[1]5.3 附表1-能源结构'!Y236*Z$12</f>
        <v>21.045297490286572</v>
      </c>
      <c r="AA77" s="18">
        <f>'[1]5.3 附表1-能源结构'!Z236*AA$12</f>
        <v>21.77433902701479</v>
      </c>
      <c r="AB77" s="18">
        <f>'[1]5.3 附表1-能源结构'!AA236*AB$12</f>
        <v>22.528635686058117</v>
      </c>
      <c r="AC77" s="18">
        <f>'[1]5.3 附表1-能源结构'!AB236*AC$12</f>
        <v>23.30906234377272</v>
      </c>
      <c r="AD77" s="18">
        <f>'[1]5.3 附表1-能源结构'!AC236*AD$12</f>
        <v>24.116524183579976</v>
      </c>
      <c r="AE77" s="18">
        <f>'[1]5.3 附表1-能源结构'!AD236*AE$12</f>
        <v>24.951957745849896</v>
      </c>
      <c r="AF77" s="18">
        <f>'[1]5.3 附表1-能源结构'!AE236*AF$12</f>
        <v>25.816332014154156</v>
      </c>
      <c r="AG77" s="18">
        <f>'[1]5.3 附表1-能源结构'!AF236*AG$12</f>
        <v>26.710649539148594</v>
      </c>
      <c r="AH77" s="21">
        <f>'[1]5.3 附表1-能源结构'!AF198*AH$10</f>
        <v>0</v>
      </c>
      <c r="AI77" s="21">
        <f>'[1]5.3 附表1-能源结构'!AG198*AI$10</f>
        <v>0</v>
      </c>
    </row>
    <row r="78" spans="2:35" ht="16" thickTop="1" thickBot="1">
      <c r="B78" s="23"/>
      <c r="C78" s="13" t="s">
        <v>11</v>
      </c>
      <c r="D78" s="20" t="s">
        <v>20</v>
      </c>
      <c r="E78" s="25">
        <f>'[1]5.3 附表1-能源结构'!D237*E$12</f>
        <v>9.5829029999999999</v>
      </c>
      <c r="F78" s="25">
        <f>'[1]5.3 附表1-能源结构'!E237*F$12</f>
        <v>11.12821716107422</v>
      </c>
      <c r="G78" s="25">
        <f>'[1]5.3 附表1-能源结构'!F237*G$12</f>
        <v>13.02776666141699</v>
      </c>
      <c r="H78" s="25">
        <f>'[1]5.3 附表1-能源结构'!G237*H$12</f>
        <v>15.236566296464609</v>
      </c>
      <c r="I78" s="25">
        <f>'[1]5.3 附表1-能源结构'!H237*I$12</f>
        <v>17.363838052422846</v>
      </c>
      <c r="J78" s="25">
        <f>'[1]5.3 附表1-能源结构'!I237*J$12</f>
        <v>19.786092455789799</v>
      </c>
      <c r="K78" s="25">
        <f>'[1]5.3 附表1-能源结构'!J237*K$12</f>
        <v>22.548551846114925</v>
      </c>
      <c r="L78" s="18">
        <f>'[1]5.3 附表1-能源结构'!K237*L$12</f>
        <v>25.69669536786957</v>
      </c>
      <c r="M78" s="18">
        <f>'[1]5.3 附表1-能源结构'!L237*M$12</f>
        <v>29.284370780683254</v>
      </c>
      <c r="N78" s="18">
        <f>'[1]5.3 附表1-能源结构'!M237*N$12</f>
        <v>33.372943864712745</v>
      </c>
      <c r="O78" s="18">
        <f>'[1]5.3 附表1-能源结构'!N237*O$12</f>
        <v>38.032348058232117</v>
      </c>
      <c r="P78" s="18">
        <f>'[1]5.3 附表1-能源结构'!O237*P$12</f>
        <v>43.342280641653026</v>
      </c>
      <c r="Q78" s="18">
        <f>'[1]5.3 附表1-能源结构'!P237*Q$12</f>
        <v>49.393565928233478</v>
      </c>
      <c r="R78" s="18">
        <f>'[1]5.3 附表1-能源结构'!Q237*R$12</f>
        <v>56.289708778317262</v>
      </c>
      <c r="S78" s="18">
        <f>'[1]5.3 附表1-能源结构'!R237*S$12</f>
        <v>64.148665009355554</v>
      </c>
      <c r="T78" s="18">
        <f>'[1]5.3 附表1-能源结构'!S237*T$12</f>
        <v>73.104858983879339</v>
      </c>
      <c r="U78" s="18">
        <f>'[1]5.3 附表1-能源结构'!T237*U$12</f>
        <v>83.311482885473254</v>
      </c>
      <c r="V78" s="18">
        <f>'[1]5.3 附表1-能源结构'!U237*V$12</f>
        <v>94.943117010964329</v>
      </c>
      <c r="W78" s="18">
        <f>'[1]5.3 附表1-能源结构'!V237*W$12</f>
        <v>108.19871589789504</v>
      </c>
      <c r="X78" s="18">
        <f>'[1]5.3 附表1-能源结构'!W237*X$12</f>
        <v>123.30501136381955</v>
      </c>
      <c r="Y78" s="18">
        <f>'[1]5.3 附表1-能源结构'!X237*Y$12</f>
        <v>140.52039066507496</v>
      </c>
      <c r="Z78" s="18">
        <f>'[1]5.3 附表1-能源结构'!Y237*Z$12</f>
        <v>160.13931610941154</v>
      </c>
      <c r="AA78" s="18">
        <f>'[1]5.3 附表1-能源结构'!Z237*AA$12</f>
        <v>182.49736171822195</v>
      </c>
      <c r="AB78" s="18">
        <f>'[1]5.3 附表1-能源结构'!AA237*AB$12</f>
        <v>207.9769530884999</v>
      </c>
      <c r="AC78" s="18">
        <f>'[1]5.3 附表1-能源结构'!AB237*AC$12</f>
        <v>237.01390863261574</v>
      </c>
      <c r="AD78" s="18">
        <f>'[1]5.3 附表1-能源结构'!AC237*AD$12</f>
        <v>270.10489408124789</v>
      </c>
      <c r="AE78" s="18">
        <f>'[1]5.3 附表1-能源结构'!AD237*AE$12</f>
        <v>307.81591775581768</v>
      </c>
      <c r="AF78" s="18">
        <f>'[1]5.3 附表1-能源结构'!AE237*AF$12</f>
        <v>350.79201191872966</v>
      </c>
      <c r="AG78" s="18">
        <f>'[1]5.3 附表1-能源结构'!AF237*AG$12</f>
        <v>399.76826579711354</v>
      </c>
      <c r="AH78" s="21">
        <f>'[1]5.3 附表1-能源结构'!AF199*AH$10</f>
        <v>0</v>
      </c>
      <c r="AI78" s="21">
        <f>'[1]5.3 附表1-能源结构'!AG199*AI$10</f>
        <v>0</v>
      </c>
    </row>
    <row r="79" spans="2:35" ht="15" thickTop="1"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2:35" ht="14"/>
    <row r="81" spans="1:36" ht="14">
      <c r="A81" s="11"/>
      <c r="B81" s="6" t="s">
        <v>23</v>
      </c>
      <c r="E81" s="1">
        <v>2020</v>
      </c>
      <c r="F81" s="1">
        <v>2021</v>
      </c>
      <c r="G81" s="1">
        <v>2022</v>
      </c>
      <c r="H81" s="1">
        <v>2023</v>
      </c>
      <c r="I81" s="1">
        <v>2024</v>
      </c>
      <c r="J81" s="1">
        <v>2025</v>
      </c>
      <c r="K81" s="1">
        <v>2026</v>
      </c>
      <c r="L81" s="1">
        <v>2027</v>
      </c>
      <c r="M81" s="1">
        <v>2028</v>
      </c>
      <c r="N81" s="1">
        <v>2029</v>
      </c>
      <c r="O81" s="1">
        <v>2030</v>
      </c>
      <c r="P81" s="1">
        <v>2031</v>
      </c>
      <c r="Q81" s="1">
        <v>2032</v>
      </c>
      <c r="R81" s="1">
        <v>2033</v>
      </c>
      <c r="S81" s="1">
        <v>2034</v>
      </c>
      <c r="T81" s="1">
        <v>2035</v>
      </c>
      <c r="U81" s="1">
        <v>2036</v>
      </c>
      <c r="V81" s="1">
        <v>2037</v>
      </c>
      <c r="W81" s="1">
        <v>2038</v>
      </c>
      <c r="X81" s="1">
        <v>2039</v>
      </c>
      <c r="Y81" s="1">
        <v>2040</v>
      </c>
      <c r="Z81" s="1">
        <v>2041</v>
      </c>
      <c r="AA81" s="1">
        <v>2042</v>
      </c>
      <c r="AB81" s="1">
        <v>2043</v>
      </c>
      <c r="AC81" s="1">
        <v>2044</v>
      </c>
      <c r="AD81" s="1">
        <v>2045</v>
      </c>
      <c r="AE81" s="1">
        <v>2046</v>
      </c>
      <c r="AF81" s="1">
        <v>2047</v>
      </c>
      <c r="AG81" s="1">
        <v>2048</v>
      </c>
      <c r="AH81" s="1">
        <v>2049</v>
      </c>
      <c r="AI81" s="1">
        <v>2050</v>
      </c>
    </row>
    <row r="82" spans="1:36" ht="15" thickBot="1">
      <c r="B82" s="12" t="s">
        <v>24</v>
      </c>
      <c r="AF82" s="27"/>
    </row>
    <row r="83" spans="1:36" ht="16" thickTop="1" thickBot="1">
      <c r="C83" s="13" t="s">
        <v>5</v>
      </c>
      <c r="D83" s="14" t="s">
        <v>10</v>
      </c>
      <c r="E83" s="26">
        <v>691.3</v>
      </c>
      <c r="F83" s="26">
        <v>697.38343999999995</v>
      </c>
      <c r="G83" s="26">
        <v>709.23895847999984</v>
      </c>
      <c r="H83" s="26">
        <v>720.58678181567984</v>
      </c>
      <c r="I83" s="26">
        <v>713.38091399752307</v>
      </c>
      <c r="J83" s="26">
        <v>706.17504617936618</v>
      </c>
      <c r="K83" s="26">
        <v>703.35034599464871</v>
      </c>
      <c r="L83" s="26">
        <v>700.53694461067016</v>
      </c>
      <c r="M83" s="26">
        <v>697.73479683222752</v>
      </c>
      <c r="N83" s="26">
        <v>694.94385764489857</v>
      </c>
      <c r="O83" s="26">
        <v>692.16408221431902</v>
      </c>
      <c r="P83" s="26">
        <v>689.39542588546169</v>
      </c>
      <c r="Q83" s="26">
        <v>686.63784418191983</v>
      </c>
      <c r="R83" s="26">
        <v>683.89129280519217</v>
      </c>
      <c r="S83" s="26">
        <v>681.15572763397142</v>
      </c>
      <c r="T83" s="26">
        <v>678.43110472343551</v>
      </c>
      <c r="U83" s="26">
        <v>675.71738030454173</v>
      </c>
      <c r="V83" s="26">
        <v>673.01451078332354</v>
      </c>
      <c r="W83" s="26">
        <v>670.32245274019022</v>
      </c>
      <c r="X83" s="26">
        <v>667.64116292922949</v>
      </c>
      <c r="Y83" s="26">
        <v>664.97059827751252</v>
      </c>
      <c r="Z83" s="26">
        <v>662.3107158844025</v>
      </c>
      <c r="AA83" s="26">
        <v>659.66147302086483</v>
      </c>
      <c r="AB83" s="26">
        <v>657.02282712878139</v>
      </c>
      <c r="AC83" s="26">
        <v>654.39473582026631</v>
      </c>
      <c r="AD83" s="26">
        <v>651.77715687698526</v>
      </c>
      <c r="AE83" s="26">
        <v>649.1700482494773</v>
      </c>
      <c r="AF83" s="26">
        <v>646.57336805647935</v>
      </c>
      <c r="AG83" s="26">
        <v>643.98707458425338</v>
      </c>
      <c r="AH83" s="26">
        <v>641.41112628591634</v>
      </c>
      <c r="AI83" s="26">
        <v>638.84548178077262</v>
      </c>
      <c r="AJ83" s="28"/>
    </row>
    <row r="84" spans="1:36" ht="16" thickTop="1" thickBot="1">
      <c r="C84" s="13" t="s">
        <v>5</v>
      </c>
      <c r="D84" s="14" t="s">
        <v>21</v>
      </c>
      <c r="E84" s="26">
        <v>490</v>
      </c>
      <c r="F84" s="26">
        <v>494.31199999999995</v>
      </c>
      <c r="G84" s="26">
        <v>502.71530399999989</v>
      </c>
      <c r="H84" s="26">
        <v>510.75874886399987</v>
      </c>
      <c r="I84" s="26">
        <v>505.65116137535989</v>
      </c>
      <c r="J84" s="26">
        <v>500.54357388671986</v>
      </c>
      <c r="K84" s="26">
        <v>500.04303031283314</v>
      </c>
      <c r="L84" s="26">
        <v>499.5429872825203</v>
      </c>
      <c r="M84" s="26">
        <v>499.0434442952378</v>
      </c>
      <c r="N84" s="26">
        <v>498.54440085094257</v>
      </c>
      <c r="O84" s="26">
        <v>498.04585645009161</v>
      </c>
      <c r="P84" s="26">
        <v>497.54781059364149</v>
      </c>
      <c r="Q84" s="26">
        <v>497.05026278304786</v>
      </c>
      <c r="R84" s="26">
        <v>496.55321252026482</v>
      </c>
      <c r="S84" s="26">
        <v>496.05665930774455</v>
      </c>
      <c r="T84" s="26">
        <v>495.56060264843683</v>
      </c>
      <c r="U84" s="26">
        <v>495.0650420457884</v>
      </c>
      <c r="V84" s="26">
        <v>494.56997700374262</v>
      </c>
      <c r="W84" s="26">
        <v>494.0754070267389</v>
      </c>
      <c r="X84" s="26">
        <v>493.58133161971216</v>
      </c>
      <c r="Y84" s="26">
        <v>493.08775028809242</v>
      </c>
      <c r="Z84" s="26">
        <v>492.59466253780431</v>
      </c>
      <c r="AA84" s="26">
        <v>492.10206787526653</v>
      </c>
      <c r="AB84" s="26">
        <v>491.60996580739123</v>
      </c>
      <c r="AC84" s="26">
        <v>491.11835584158382</v>
      </c>
      <c r="AD84" s="26">
        <v>490.62723748574223</v>
      </c>
      <c r="AE84" s="26">
        <v>490.13661024825649</v>
      </c>
      <c r="AF84" s="26">
        <v>489.64647363800822</v>
      </c>
      <c r="AG84" s="26">
        <v>489.15682716437021</v>
      </c>
      <c r="AH84" s="26">
        <v>488.66767033720583</v>
      </c>
      <c r="AI84" s="26">
        <v>488.17900266686866</v>
      </c>
      <c r="AJ84" s="28"/>
    </row>
    <row r="85" spans="1:36" ht="16" thickTop="1" thickBot="1">
      <c r="C85" s="13" t="s">
        <v>5</v>
      </c>
      <c r="D85" s="14" t="s">
        <v>25</v>
      </c>
      <c r="E85" s="26">
        <v>90</v>
      </c>
      <c r="F85" s="26">
        <v>90.791999999999987</v>
      </c>
      <c r="G85" s="26">
        <v>92.335463999999973</v>
      </c>
      <c r="H85" s="26">
        <v>93.812831423999981</v>
      </c>
      <c r="I85" s="26">
        <v>92.874703109759977</v>
      </c>
      <c r="J85" s="26">
        <v>91.936574795519974</v>
      </c>
      <c r="K85" s="26">
        <v>91.5688284963379</v>
      </c>
      <c r="L85" s="26">
        <v>91.202553182352545</v>
      </c>
      <c r="M85" s="26">
        <v>90.837742969623136</v>
      </c>
      <c r="N85" s="26">
        <v>90.474391997744647</v>
      </c>
      <c r="O85" s="26">
        <v>90.112494429753667</v>
      </c>
      <c r="P85" s="26">
        <v>89.752044452034653</v>
      </c>
      <c r="Q85" s="26">
        <v>89.393036274226517</v>
      </c>
      <c r="R85" s="26">
        <v>89.035464129129608</v>
      </c>
      <c r="S85" s="26">
        <v>88.679322272613092</v>
      </c>
      <c r="T85" s="26">
        <v>88.324604983522633</v>
      </c>
      <c r="U85" s="26">
        <v>87.971306563588541</v>
      </c>
      <c r="V85" s="26">
        <v>87.619421337334188</v>
      </c>
      <c r="W85" s="26">
        <v>87.268943651984856</v>
      </c>
      <c r="X85" s="26">
        <v>86.919867877376916</v>
      </c>
      <c r="Y85" s="26">
        <v>86.572188405867408</v>
      </c>
      <c r="Z85" s="26">
        <v>86.225899652243939</v>
      </c>
      <c r="AA85" s="26">
        <v>85.880996053634959</v>
      </c>
      <c r="AB85" s="26">
        <v>85.537472069420417</v>
      </c>
      <c r="AC85" s="26">
        <v>85.195322181142728</v>
      </c>
      <c r="AD85" s="26">
        <v>84.854540892418157</v>
      </c>
      <c r="AE85" s="26">
        <v>84.515122728848482</v>
      </c>
      <c r="AF85" s="26">
        <v>84.177062237933086</v>
      </c>
      <c r="AG85" s="26">
        <v>83.840353988981349</v>
      </c>
      <c r="AH85" s="26">
        <v>83.504992573025419</v>
      </c>
      <c r="AI85" s="26">
        <v>83.170972602733315</v>
      </c>
      <c r="AJ85" s="28"/>
    </row>
    <row r="86" spans="1:36" s="5" customFormat="1" ht="16" thickTop="1" thickBot="1"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36" ht="16" thickTop="1" thickBot="1">
      <c r="C87" s="13" t="s">
        <v>9</v>
      </c>
      <c r="D87" s="14" t="s">
        <v>10</v>
      </c>
      <c r="E87" s="26">
        <v>691.3</v>
      </c>
      <c r="F87" s="26">
        <v>697.38343999999995</v>
      </c>
      <c r="G87" s="26">
        <v>709.23895847999984</v>
      </c>
      <c r="H87" s="26">
        <v>720.58678181567984</v>
      </c>
      <c r="I87" s="26">
        <v>713.38091399752307</v>
      </c>
      <c r="J87" s="26">
        <v>706.17504617936618</v>
      </c>
      <c r="K87" s="26">
        <v>700.52564580993123</v>
      </c>
      <c r="L87" s="26">
        <v>694.92144064345177</v>
      </c>
      <c r="M87" s="26">
        <v>689.36206911830413</v>
      </c>
      <c r="N87" s="26">
        <v>683.84717256535771</v>
      </c>
      <c r="O87" s="26">
        <v>678.37639518483479</v>
      </c>
      <c r="P87" s="26">
        <v>672.94938402335606</v>
      </c>
      <c r="Q87" s="26">
        <v>667.56578895116922</v>
      </c>
      <c r="R87" s="26">
        <v>662.2252626395599</v>
      </c>
      <c r="S87" s="26">
        <v>656.92746053844337</v>
      </c>
      <c r="T87" s="26">
        <v>651.67204085413584</v>
      </c>
      <c r="U87" s="26">
        <v>646.45866452730274</v>
      </c>
      <c r="V87" s="26">
        <v>641.28699521108433</v>
      </c>
      <c r="W87" s="26">
        <v>636.15669924939561</v>
      </c>
      <c r="X87" s="26">
        <v>631.06744565540043</v>
      </c>
      <c r="Y87" s="26">
        <v>626.0189060901572</v>
      </c>
      <c r="Z87" s="26">
        <v>621.01075484143598</v>
      </c>
      <c r="AA87" s="26">
        <v>616.0426688027045</v>
      </c>
      <c r="AB87" s="26">
        <v>611.11432745228285</v>
      </c>
      <c r="AC87" s="26">
        <v>606.22541283266457</v>
      </c>
      <c r="AD87" s="26">
        <v>601.3756095300032</v>
      </c>
      <c r="AE87" s="26">
        <v>596.56460465376313</v>
      </c>
      <c r="AF87" s="26">
        <v>591.79208781653301</v>
      </c>
      <c r="AG87" s="26">
        <v>587.05775111400078</v>
      </c>
      <c r="AH87" s="26">
        <v>582.36128910508876</v>
      </c>
      <c r="AI87" s="26">
        <v>577.702398792248</v>
      </c>
      <c r="AJ87" s="28"/>
    </row>
    <row r="88" spans="1:36" ht="16" thickTop="1" thickBot="1">
      <c r="C88" s="13" t="s">
        <v>9</v>
      </c>
      <c r="D88" s="14" t="s">
        <v>21</v>
      </c>
      <c r="E88" s="26">
        <v>490</v>
      </c>
      <c r="F88" s="26">
        <v>494.31199999999995</v>
      </c>
      <c r="G88" s="26">
        <v>502.71530399999989</v>
      </c>
      <c r="H88" s="26">
        <v>510.75874886399987</v>
      </c>
      <c r="I88" s="26">
        <v>505.65116137535989</v>
      </c>
      <c r="J88" s="26">
        <v>500.54357388671986</v>
      </c>
      <c r="K88" s="26">
        <v>499.54248673894642</v>
      </c>
      <c r="L88" s="26">
        <v>498.5434017654685</v>
      </c>
      <c r="M88" s="26">
        <v>497.54631496193758</v>
      </c>
      <c r="N88" s="26">
        <v>496.55122233201371</v>
      </c>
      <c r="O88" s="26">
        <v>495.55811988734968</v>
      </c>
      <c r="P88" s="26">
        <v>494.56700364757495</v>
      </c>
      <c r="Q88" s="26">
        <v>493.5778696402798</v>
      </c>
      <c r="R88" s="26">
        <v>492.59071390099922</v>
      </c>
      <c r="S88" s="26">
        <v>491.60553247319723</v>
      </c>
      <c r="T88" s="26">
        <v>490.62232140825085</v>
      </c>
      <c r="U88" s="26">
        <v>489.64107676543438</v>
      </c>
      <c r="V88" s="26">
        <v>488.66179461190353</v>
      </c>
      <c r="W88" s="26">
        <v>487.6844710226797</v>
      </c>
      <c r="X88" s="26">
        <v>486.70910208063435</v>
      </c>
      <c r="Y88" s="26">
        <v>485.7356838764731</v>
      </c>
      <c r="Z88" s="26">
        <v>484.76421250872016</v>
      </c>
      <c r="AA88" s="26">
        <v>483.79468408370275</v>
      </c>
      <c r="AB88" s="26">
        <v>482.82709471553534</v>
      </c>
      <c r="AC88" s="26">
        <v>481.86144052610427</v>
      </c>
      <c r="AD88" s="26">
        <v>480.89771764505207</v>
      </c>
      <c r="AE88" s="26">
        <v>479.93592220976194</v>
      </c>
      <c r="AF88" s="26">
        <v>478.97605036534242</v>
      </c>
      <c r="AG88" s="26">
        <v>478.01809826461175</v>
      </c>
      <c r="AH88" s="26">
        <v>477.06206206808253</v>
      </c>
      <c r="AI88" s="26">
        <v>476.10793794394635</v>
      </c>
      <c r="AJ88" s="28"/>
    </row>
    <row r="89" spans="1:36" ht="16" thickTop="1" thickBot="1">
      <c r="C89" s="13" t="s">
        <v>9</v>
      </c>
      <c r="D89" s="14" t="s">
        <v>25</v>
      </c>
      <c r="E89" s="26">
        <v>90</v>
      </c>
      <c r="F89" s="26">
        <v>90.791999999999987</v>
      </c>
      <c r="G89" s="26">
        <v>92.335463999999973</v>
      </c>
      <c r="H89" s="26">
        <v>93.812831423999981</v>
      </c>
      <c r="I89" s="26">
        <v>92.874703109759977</v>
      </c>
      <c r="J89" s="26">
        <v>91.936574795519974</v>
      </c>
      <c r="K89" s="26">
        <v>91.201082197155813</v>
      </c>
      <c r="L89" s="26">
        <v>90.471473539578568</v>
      </c>
      <c r="M89" s="26">
        <v>89.747701751261943</v>
      </c>
      <c r="N89" s="26">
        <v>89.029720137251843</v>
      </c>
      <c r="O89" s="26">
        <v>88.317482376153833</v>
      </c>
      <c r="P89" s="26">
        <v>87.610942517144608</v>
      </c>
      <c r="Q89" s="26">
        <v>86.910054977007448</v>
      </c>
      <c r="R89" s="26">
        <v>86.214774537191389</v>
      </c>
      <c r="S89" s="26">
        <v>85.525056340893855</v>
      </c>
      <c r="T89" s="26">
        <v>84.840855890166708</v>
      </c>
      <c r="U89" s="26">
        <v>84.162129043045368</v>
      </c>
      <c r="V89" s="26">
        <v>83.488832010701003</v>
      </c>
      <c r="W89" s="26">
        <v>82.820921354615393</v>
      </c>
      <c r="X89" s="26">
        <v>82.158353983778468</v>
      </c>
      <c r="Y89" s="26">
        <v>81.501087151908237</v>
      </c>
      <c r="Z89" s="26">
        <v>80.849078454692972</v>
      </c>
      <c r="AA89" s="26">
        <v>80.202285827055434</v>
      </c>
      <c r="AB89" s="26">
        <v>79.560667540438985</v>
      </c>
      <c r="AC89" s="26">
        <v>78.924182200115467</v>
      </c>
      <c r="AD89" s="26">
        <v>78.292788742514546</v>
      </c>
      <c r="AE89" s="26">
        <v>77.666446432574432</v>
      </c>
      <c r="AF89" s="26">
        <v>77.045114861113831</v>
      </c>
      <c r="AG89" s="26">
        <v>76.428753942224915</v>
      </c>
      <c r="AH89" s="26">
        <v>75.817323910687122</v>
      </c>
      <c r="AI89" s="26">
        <v>75.210785319401623</v>
      </c>
      <c r="AJ89" s="28"/>
    </row>
    <row r="90" spans="1:36" ht="16" thickTop="1" thickBot="1"/>
    <row r="91" spans="1:36" ht="14.25" customHeight="1" thickTop="1" thickBot="1">
      <c r="C91" s="13" t="s">
        <v>11</v>
      </c>
      <c r="D91" s="14" t="s">
        <v>10</v>
      </c>
      <c r="E91" s="26">
        <v>691.3</v>
      </c>
      <c r="F91" s="26">
        <v>697.38343999999995</v>
      </c>
      <c r="G91" s="26">
        <v>709.23895847999984</v>
      </c>
      <c r="H91" s="26">
        <v>720.58678181567984</v>
      </c>
      <c r="I91" s="26">
        <v>713.38091399752307</v>
      </c>
      <c r="J91" s="26">
        <v>706.17504617936618</v>
      </c>
      <c r="K91" s="26">
        <v>699.11329571757256</v>
      </c>
      <c r="L91" s="26">
        <v>692.1221627603968</v>
      </c>
      <c r="M91" s="26">
        <v>685.20094113279288</v>
      </c>
      <c r="N91" s="26">
        <v>678.34893172146496</v>
      </c>
      <c r="O91" s="26">
        <v>671.56544240425035</v>
      </c>
      <c r="P91" s="26">
        <v>664.84978798020779</v>
      </c>
      <c r="Q91" s="26">
        <v>658.20129010040569</v>
      </c>
      <c r="R91" s="26">
        <v>651.61927719940161</v>
      </c>
      <c r="S91" s="26">
        <v>645.10308442740757</v>
      </c>
      <c r="T91" s="26">
        <v>638.65205358313347</v>
      </c>
      <c r="U91" s="26">
        <v>632.26553304730214</v>
      </c>
      <c r="V91" s="26">
        <v>625.94287771682912</v>
      </c>
      <c r="W91" s="26">
        <v>619.68344893966082</v>
      </c>
      <c r="X91" s="26">
        <v>613.48661445026426</v>
      </c>
      <c r="Y91" s="26">
        <v>607.35174830576159</v>
      </c>
      <c r="Z91" s="26">
        <v>601.27823082270402</v>
      </c>
      <c r="AA91" s="26">
        <v>595.26544851447693</v>
      </c>
      <c r="AB91" s="26">
        <v>589.31279402933217</v>
      </c>
      <c r="AC91" s="26">
        <v>583.41966608903886</v>
      </c>
      <c r="AD91" s="26">
        <v>577.58546942814849</v>
      </c>
      <c r="AE91" s="26">
        <v>571.80961473386697</v>
      </c>
      <c r="AF91" s="26">
        <v>566.09151858652831</v>
      </c>
      <c r="AG91" s="26">
        <v>560.43060340066302</v>
      </c>
      <c r="AH91" s="26">
        <v>554.82629736665638</v>
      </c>
      <c r="AI91" s="26">
        <v>549.27803439298975</v>
      </c>
      <c r="AJ91" s="28"/>
    </row>
    <row r="92" spans="1:36" ht="16" thickTop="1" thickBot="1">
      <c r="C92" s="13" t="s">
        <v>11</v>
      </c>
      <c r="D92" s="14" t="s">
        <v>21</v>
      </c>
      <c r="E92" s="5">
        <v>490</v>
      </c>
      <c r="F92" s="26">
        <v>494.31199999999995</v>
      </c>
      <c r="G92" s="26">
        <v>502.71530399999989</v>
      </c>
      <c r="H92" s="26">
        <v>510.75874886399987</v>
      </c>
      <c r="I92" s="26">
        <v>505.65116137535989</v>
      </c>
      <c r="J92" s="26">
        <v>500.54357388671986</v>
      </c>
      <c r="K92" s="26">
        <v>499.04194316505971</v>
      </c>
      <c r="L92" s="26">
        <v>497.54481733556452</v>
      </c>
      <c r="M92" s="26">
        <v>496.0521828835578</v>
      </c>
      <c r="N92" s="26">
        <v>494.56402633490711</v>
      </c>
      <c r="O92" s="26">
        <v>493.08033425590241</v>
      </c>
      <c r="P92" s="26">
        <v>491.60109325313471</v>
      </c>
      <c r="Q92" s="26">
        <v>490.12628997337532</v>
      </c>
      <c r="R92" s="26">
        <v>488.6559111034552</v>
      </c>
      <c r="S92" s="26">
        <v>487.18994337014482</v>
      </c>
      <c r="T92" s="26">
        <v>485.7283735400344</v>
      </c>
      <c r="U92" s="26">
        <v>484.27118841941427</v>
      </c>
      <c r="V92" s="26">
        <v>482.81837485415605</v>
      </c>
      <c r="W92" s="26">
        <v>481.36991972959356</v>
      </c>
      <c r="X92" s="26">
        <v>479.92580997040477</v>
      </c>
      <c r="Y92" s="26">
        <v>478.48603254049357</v>
      </c>
      <c r="Z92" s="26">
        <v>477.05057444287206</v>
      </c>
      <c r="AA92" s="26">
        <v>475.61942271954342</v>
      </c>
      <c r="AB92" s="26">
        <v>474.19256445138478</v>
      </c>
      <c r="AC92" s="26">
        <v>472.76998675803065</v>
      </c>
      <c r="AD92" s="26">
        <v>471.35167679775657</v>
      </c>
      <c r="AE92" s="26">
        <v>469.93762176736328</v>
      </c>
      <c r="AF92" s="26">
        <v>468.52780890206117</v>
      </c>
      <c r="AG92" s="26">
        <v>467.12222547535498</v>
      </c>
      <c r="AH92" s="26">
        <v>465.72085879892893</v>
      </c>
      <c r="AI92" s="26">
        <v>464.32369622253213</v>
      </c>
      <c r="AJ92" s="28"/>
    </row>
    <row r="93" spans="1:36" ht="16" thickTop="1" thickBot="1">
      <c r="C93" s="13" t="s">
        <v>11</v>
      </c>
      <c r="D93" s="14" t="s">
        <v>25</v>
      </c>
      <c r="E93" s="5">
        <v>90</v>
      </c>
      <c r="F93" s="26">
        <v>90.791999999999987</v>
      </c>
      <c r="G93" s="26">
        <v>92.335463999999973</v>
      </c>
      <c r="H93" s="26">
        <v>93.812831423999981</v>
      </c>
      <c r="I93" s="26">
        <v>92.874703109759977</v>
      </c>
      <c r="J93" s="26">
        <v>91.936574795519974</v>
      </c>
      <c r="K93" s="26">
        <v>91.017209047564776</v>
      </c>
      <c r="L93" s="26">
        <v>90.107036957089122</v>
      </c>
      <c r="M93" s="26">
        <v>89.205966587518233</v>
      </c>
      <c r="N93" s="26">
        <v>88.313906921643053</v>
      </c>
      <c r="O93" s="26">
        <v>87.430767852426627</v>
      </c>
      <c r="P93" s="26">
        <v>86.556460173902366</v>
      </c>
      <c r="Q93" s="26">
        <v>85.690895572163342</v>
      </c>
      <c r="R93" s="26">
        <v>84.833986616441706</v>
      </c>
      <c r="S93" s="26">
        <v>83.985646750277283</v>
      </c>
      <c r="T93" s="26">
        <v>83.145790282774513</v>
      </c>
      <c r="U93" s="26">
        <v>82.314332379946762</v>
      </c>
      <c r="V93" s="26">
        <v>81.491189056147292</v>
      </c>
      <c r="W93" s="26">
        <v>80.676277165585816</v>
      </c>
      <c r="X93" s="26">
        <v>79.869514393929961</v>
      </c>
      <c r="Y93" s="26">
        <v>79.070819249990663</v>
      </c>
      <c r="Z93" s="26">
        <v>78.280111057490757</v>
      </c>
      <c r="AA93" s="26">
        <v>77.497309946915848</v>
      </c>
      <c r="AB93" s="26">
        <v>76.722336847446684</v>
      </c>
      <c r="AC93" s="26">
        <v>75.955113478972223</v>
      </c>
      <c r="AD93" s="26">
        <v>75.195562344182505</v>
      </c>
      <c r="AE93" s="26">
        <v>74.443606720740675</v>
      </c>
      <c r="AF93" s="26">
        <v>73.699170653533272</v>
      </c>
      <c r="AG93" s="26">
        <v>72.962178946997938</v>
      </c>
      <c r="AH93" s="26">
        <v>72.232557157527964</v>
      </c>
      <c r="AI93" s="26">
        <v>71.510231585952681</v>
      </c>
      <c r="AJ93" s="28"/>
    </row>
    <row r="94" spans="1:36" ht="15" thickTop="1"/>
    <row r="95" spans="1:36" ht="14">
      <c r="K95" s="28"/>
    </row>
    <row r="96" spans="1:36" ht="15" thickBot="1">
      <c r="B96" s="6" t="s">
        <v>26</v>
      </c>
      <c r="C96" s="7"/>
      <c r="E96" s="1">
        <v>2020</v>
      </c>
      <c r="F96" s="1">
        <v>2021</v>
      </c>
      <c r="G96" s="1">
        <v>2022</v>
      </c>
      <c r="H96" s="1">
        <v>2023</v>
      </c>
      <c r="I96" s="1">
        <v>2024</v>
      </c>
      <c r="J96" s="1">
        <v>2025</v>
      </c>
      <c r="K96" s="1">
        <v>2026</v>
      </c>
      <c r="L96" s="1">
        <v>2027</v>
      </c>
      <c r="M96" s="1">
        <v>2028</v>
      </c>
      <c r="N96" s="1">
        <v>2029</v>
      </c>
      <c r="O96" s="1">
        <v>2030</v>
      </c>
      <c r="P96" s="1">
        <v>2031</v>
      </c>
      <c r="Q96" s="1">
        <v>2032</v>
      </c>
      <c r="R96" s="1">
        <v>2033</v>
      </c>
      <c r="S96" s="1">
        <v>2034</v>
      </c>
      <c r="T96" s="1">
        <v>2035</v>
      </c>
      <c r="U96" s="1">
        <v>2036</v>
      </c>
      <c r="V96" s="1">
        <v>2037</v>
      </c>
      <c r="W96" s="1">
        <v>2038</v>
      </c>
      <c r="X96" s="1">
        <v>2039</v>
      </c>
      <c r="Y96" s="1">
        <v>2040</v>
      </c>
      <c r="Z96" s="1">
        <v>2041</v>
      </c>
      <c r="AA96" s="1">
        <v>2042</v>
      </c>
      <c r="AB96" s="1">
        <v>2043</v>
      </c>
      <c r="AC96" s="1">
        <v>2044</v>
      </c>
      <c r="AD96" s="1">
        <v>2045</v>
      </c>
      <c r="AE96" s="1">
        <v>2046</v>
      </c>
      <c r="AF96" s="1">
        <v>2047</v>
      </c>
      <c r="AG96" s="1">
        <v>2048</v>
      </c>
      <c r="AH96" s="1">
        <v>2049</v>
      </c>
      <c r="AI96" s="1">
        <v>2050</v>
      </c>
    </row>
    <row r="97" spans="3:35" ht="16" thickTop="1" thickBot="1">
      <c r="C97" s="13" t="s">
        <v>5</v>
      </c>
      <c r="D97" s="29" t="s">
        <v>27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</row>
    <row r="98" spans="3:35" ht="16" thickTop="1" thickBot="1">
      <c r="C98" s="13" t="s">
        <v>5</v>
      </c>
      <c r="D98" s="29" t="s">
        <v>28</v>
      </c>
      <c r="E98" s="30">
        <v>0.9</v>
      </c>
      <c r="F98" s="30">
        <v>0.89432512523010421</v>
      </c>
      <c r="G98" s="30">
        <v>0.88943079510786816</v>
      </c>
      <c r="H98" s="30">
        <v>0.88430639938155886</v>
      </c>
      <c r="I98" s="30">
        <v>0.87894078434630984</v>
      </c>
      <c r="J98" s="30">
        <v>0.87332222208455135</v>
      </c>
      <c r="K98" s="30">
        <v>0.86743837770053678</v>
      </c>
      <c r="L98" s="30">
        <v>0.86127627439643806</v>
      </c>
      <c r="M98" s="30">
        <v>0.85482225622433783</v>
      </c>
      <c r="N98" s="30">
        <v>0.84806194833408</v>
      </c>
      <c r="O98" s="30">
        <v>0.84098021452121896</v>
      </c>
      <c r="P98" s="30">
        <v>0.83356111186211801</v>
      </c>
      <c r="Q98" s="30">
        <v>0.82578784220442458</v>
      </c>
      <c r="R98" s="30">
        <v>0.81764270026055663</v>
      </c>
      <c r="S98" s="30">
        <v>0.8091070180292752</v>
      </c>
      <c r="T98" s="30">
        <v>0.8001611052457156</v>
      </c>
      <c r="U98" s="30">
        <v>0.79078418553318253</v>
      </c>
      <c r="V98" s="30">
        <v>0.78095432790036001</v>
      </c>
      <c r="W98" s="30">
        <v>0.77064837319507129</v>
      </c>
      <c r="X98" s="30">
        <v>0.75984185509009394</v>
      </c>
      <c r="Y98" s="30">
        <v>0.74850891513744344</v>
      </c>
      <c r="Z98" s="30">
        <v>0.73662221138468509</v>
      </c>
      <c r="AA98" s="30">
        <v>0.72415281999980019</v>
      </c>
      <c r="AB98" s="30">
        <v>0.71107012929954982</v>
      </c>
      <c r="AC98" s="30">
        <v>0.69734172551965046</v>
      </c>
      <c r="AD98" s="30">
        <v>0.68293326960293643</v>
      </c>
      <c r="AE98" s="30">
        <v>0.66780836421345335</v>
      </c>
      <c r="AF98" s="30">
        <v>0.6519284101095274</v>
      </c>
      <c r="AG98" s="30">
        <v>0.63525245092658855</v>
      </c>
      <c r="AH98" s="30">
        <v>0.61773700533019338</v>
      </c>
      <c r="AI98" s="30">
        <v>0.6</v>
      </c>
    </row>
    <row r="99" spans="3:35" ht="16" thickTop="1" thickBot="1">
      <c r="C99" s="13" t="s">
        <v>5</v>
      </c>
      <c r="D99" s="31" t="s">
        <v>10</v>
      </c>
      <c r="E99" s="32">
        <v>0.9</v>
      </c>
      <c r="F99" s="33">
        <v>0.89432512523010421</v>
      </c>
      <c r="G99" s="33">
        <v>0.88943079510786816</v>
      </c>
      <c r="H99" s="33">
        <v>0.88430639938155886</v>
      </c>
      <c r="I99" s="33">
        <v>0.87894078434630984</v>
      </c>
      <c r="J99" s="33">
        <v>0.87332222208455135</v>
      </c>
      <c r="K99" s="33">
        <v>0.86743837770053678</v>
      </c>
      <c r="L99" s="33">
        <v>0.86127627439643806</v>
      </c>
      <c r="M99" s="33">
        <v>0.85482225622433783</v>
      </c>
      <c r="N99" s="33">
        <v>0.84806194833408</v>
      </c>
      <c r="O99" s="33">
        <v>0.84098021452121896</v>
      </c>
      <c r="P99" s="33">
        <v>0.83356111186211801</v>
      </c>
      <c r="Q99" s="33">
        <v>0.82578784220442458</v>
      </c>
      <c r="R99" s="33">
        <v>0.81764270026055663</v>
      </c>
      <c r="S99" s="33">
        <v>0.8091070180292752</v>
      </c>
      <c r="T99" s="33">
        <v>0.8001611052457156</v>
      </c>
      <c r="U99" s="33">
        <v>0.79078418553318253</v>
      </c>
      <c r="V99" s="33">
        <v>0.78095432790036001</v>
      </c>
      <c r="W99" s="33">
        <v>0.77064837319507129</v>
      </c>
      <c r="X99" s="33">
        <v>0.75984185509009394</v>
      </c>
      <c r="Y99" s="33">
        <v>0.74850891513744344</v>
      </c>
      <c r="Z99" s="33">
        <v>0.73662221138468509</v>
      </c>
      <c r="AA99" s="33">
        <v>0.72415281999980019</v>
      </c>
      <c r="AB99" s="33">
        <v>0.71107012929954982</v>
      </c>
      <c r="AC99" s="33">
        <v>0.69734172551965046</v>
      </c>
      <c r="AD99" s="33">
        <v>0.68293326960293643</v>
      </c>
      <c r="AE99" s="33">
        <v>0.66780836421345335</v>
      </c>
      <c r="AF99" s="33">
        <v>0.6519284101095274</v>
      </c>
      <c r="AG99" s="33">
        <v>0.63525245092658855</v>
      </c>
      <c r="AH99" s="33">
        <v>0.61773700533019338</v>
      </c>
      <c r="AI99" s="33">
        <v>0.57999999999999996</v>
      </c>
    </row>
    <row r="100" spans="3:35" ht="16" thickTop="1" thickBot="1">
      <c r="C100" s="13" t="s">
        <v>5</v>
      </c>
      <c r="D100" s="29" t="s">
        <v>29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</row>
    <row r="101" spans="3:35" ht="16" thickTop="1" thickBot="1">
      <c r="C101" s="13" t="s">
        <v>5</v>
      </c>
      <c r="D101" s="29" t="s">
        <v>30</v>
      </c>
      <c r="E101" s="34">
        <v>1E-3</v>
      </c>
      <c r="F101" s="34">
        <v>1.1014599476471452E-3</v>
      </c>
      <c r="G101" s="34">
        <v>1.2132140162708519E-3</v>
      </c>
      <c r="H101" s="34">
        <v>1.3363066468464753E-3</v>
      </c>
      <c r="I101" s="34">
        <v>1.4718882492760507E-3</v>
      </c>
      <c r="J101" s="34">
        <v>1.6212259539900469E-3</v>
      </c>
      <c r="K101" s="34">
        <v>1.7857154544060701E-3</v>
      </c>
      <c r="L101" s="34">
        <v>1.9668940509228079E-3</v>
      </c>
      <c r="M101" s="34">
        <v>2.1664550183569174E-3</v>
      </c>
      <c r="N101" s="34">
        <v>2.3862634310993051E-3</v>
      </c>
      <c r="O101" s="34">
        <v>2.6283735938909376E-3</v>
      </c>
      <c r="P101" s="34">
        <v>2.8950482411242507E-3</v>
      </c>
      <c r="Q101" s="34">
        <v>3.1887796841046766E-3</v>
      </c>
      <c r="R101" s="34">
        <v>3.5123131039122174E-3</v>
      </c>
      <c r="S101" s="34">
        <v>3.8686722075555327E-3</v>
      </c>
      <c r="T101" s="34">
        <v>4.2611874871980827E-3</v>
      </c>
      <c r="U101" s="34">
        <v>4.6935273465638699E-3</v>
      </c>
      <c r="V101" s="34">
        <v>5.1697323854266843E-3</v>
      </c>
      <c r="W101" s="34">
        <v>5.6942531626018268E-3</v>
      </c>
      <c r="X101" s="34">
        <v>6.2719917903689987E-3</v>
      </c>
      <c r="Y101" s="34">
        <v>6.9083477490631618E-3</v>
      </c>
      <c r="Z101" s="34">
        <v>7.6092683500113834E-3</v>
      </c>
      <c r="AA101" s="34">
        <v>8.3813043184366165E-3</v>
      </c>
      <c r="AB101" s="34">
        <v>9.2316710157999866E-3</v>
      </c>
      <c r="AC101" s="34">
        <v>1.0168315873758721E-2</v>
      </c>
      <c r="AD101" s="34">
        <v>1.1199992669969915E-2</v>
      </c>
      <c r="AE101" s="34">
        <v>1.2336343339913472E-2</v>
      </c>
      <c r="AF101" s="34">
        <v>1.3587988089338301E-2</v>
      </c>
      <c r="AG101" s="34">
        <v>1.4966624649512598E-2</v>
      </c>
      <c r="AH101" s="34">
        <v>1.6485137602906617E-2</v>
      </c>
      <c r="AI101" s="34">
        <v>0.02</v>
      </c>
    </row>
    <row r="102" spans="3:35" ht="16" thickTop="1" thickBot="1">
      <c r="C102" s="13" t="s">
        <v>5</v>
      </c>
      <c r="D102" s="31" t="s">
        <v>21</v>
      </c>
      <c r="E102" s="35">
        <v>1E-3</v>
      </c>
      <c r="F102" s="33">
        <v>1.1014599476471452E-3</v>
      </c>
      <c r="G102" s="33">
        <v>1.2132140162708519E-3</v>
      </c>
      <c r="H102" s="33">
        <v>1.3363066468464753E-3</v>
      </c>
      <c r="I102" s="33">
        <v>1.4718882492760507E-3</v>
      </c>
      <c r="J102" s="33">
        <v>1.6212259539900469E-3</v>
      </c>
      <c r="K102" s="33">
        <v>1.7857154544060701E-3</v>
      </c>
      <c r="L102" s="33">
        <v>1.9668940509228079E-3</v>
      </c>
      <c r="M102" s="33">
        <v>2.1664550183569174E-3</v>
      </c>
      <c r="N102" s="33">
        <v>2.3862634310993051E-3</v>
      </c>
      <c r="O102" s="33">
        <v>2.6283735938909376E-3</v>
      </c>
      <c r="P102" s="33">
        <v>2.8950482411242507E-3</v>
      </c>
      <c r="Q102" s="33">
        <v>3.1887796841046766E-3</v>
      </c>
      <c r="R102" s="33">
        <v>3.5123131039122174E-3</v>
      </c>
      <c r="S102" s="33">
        <v>3.8686722075555327E-3</v>
      </c>
      <c r="T102" s="33">
        <v>4.2611874871980827E-3</v>
      </c>
      <c r="U102" s="33">
        <v>4.6935273465638699E-3</v>
      </c>
      <c r="V102" s="33">
        <v>5.1697323854266843E-3</v>
      </c>
      <c r="W102" s="33">
        <v>5.6942531626018268E-3</v>
      </c>
      <c r="X102" s="33">
        <v>6.2719917903689987E-3</v>
      </c>
      <c r="Y102" s="33">
        <v>6.9083477490631618E-3</v>
      </c>
      <c r="Z102" s="33">
        <v>7.6092683500113834E-3</v>
      </c>
      <c r="AA102" s="33">
        <v>8.3813043184366165E-3</v>
      </c>
      <c r="AB102" s="33">
        <v>9.2316710157999866E-3</v>
      </c>
      <c r="AC102" s="33">
        <v>1.0168315873758721E-2</v>
      </c>
      <c r="AD102" s="33">
        <v>1.1199992669969915E-2</v>
      </c>
      <c r="AE102" s="33">
        <v>1.2336343339913472E-2</v>
      </c>
      <c r="AF102" s="33">
        <v>1.3587988089338301E-2</v>
      </c>
      <c r="AG102" s="33">
        <v>1.4966624649512598E-2</v>
      </c>
      <c r="AH102" s="33">
        <v>1.6485137602906617E-2</v>
      </c>
      <c r="AI102" s="33">
        <v>0.02</v>
      </c>
    </row>
    <row r="103" spans="3:35" ht="16" thickTop="1" thickBot="1">
      <c r="C103" s="13" t="s">
        <v>5</v>
      </c>
      <c r="D103" s="31" t="s">
        <v>25</v>
      </c>
      <c r="E103" s="33">
        <v>0.1</v>
      </c>
      <c r="F103" s="33">
        <v>0.10457341482224872</v>
      </c>
      <c r="G103" s="33">
        <v>0.10935599087586106</v>
      </c>
      <c r="H103" s="33">
        <v>0.11435729397159464</v>
      </c>
      <c r="I103" s="33">
        <v>0.11958732740441408</v>
      </c>
      <c r="J103" s="33">
        <v>0.12505655196145865</v>
      </c>
      <c r="K103" s="33">
        <v>0.13077590684505716</v>
      </c>
      <c r="L103" s="33">
        <v>0.13675683155263918</v>
      </c>
      <c r="M103" s="33">
        <v>0.14301128875730529</v>
      </c>
      <c r="N103" s="33">
        <v>0.14955178823482079</v>
      </c>
      <c r="O103" s="33">
        <v>0.15639141188489009</v>
      </c>
      <c r="P103" s="33">
        <v>0.16354383989675769</v>
      </c>
      <c r="Q103" s="33">
        <v>0.1710233781114707</v>
      </c>
      <c r="R103" s="33">
        <v>0.17884498663553117</v>
      </c>
      <c r="S103" s="33">
        <v>0.18702430976316928</v>
      </c>
      <c r="T103" s="33">
        <v>0.1955777072670864</v>
      </c>
      <c r="U103" s="33">
        <v>0.20452228712025353</v>
      </c>
      <c r="V103" s="33">
        <v>0.21387593971421326</v>
      </c>
      <c r="W103" s="33">
        <v>0.2236573736423268</v>
      </c>
      <c r="X103" s="33">
        <v>0.23388615311953714</v>
      </c>
      <c r="Y103" s="33">
        <v>0.24458273711349338</v>
      </c>
      <c r="Z103" s="33">
        <v>0.2557685202653035</v>
      </c>
      <c r="AA103" s="33">
        <v>0.26746587568176311</v>
      </c>
      <c r="AB103" s="33">
        <v>0.27969819968465015</v>
      </c>
      <c r="AC103" s="33">
        <v>0.29248995860659072</v>
      </c>
      <c r="AD103" s="33">
        <v>0.30586673772709366</v>
      </c>
      <c r="AE103" s="33">
        <v>0.31985529244663313</v>
      </c>
      <c r="AF103" s="33">
        <v>0.3344836018011344</v>
      </c>
      <c r="AG103" s="33">
        <v>0.34978092442389885</v>
      </c>
      <c r="AH103" s="33">
        <v>0.36577785706690003</v>
      </c>
      <c r="AI103" s="33">
        <v>0.4</v>
      </c>
    </row>
    <row r="104" spans="3:35" ht="14.25" customHeight="1" thickTop="1" thickBot="1">
      <c r="F104" s="28"/>
      <c r="G104" s="28"/>
      <c r="H104" s="28"/>
    </row>
    <row r="105" spans="3:35" ht="16" thickTop="1" thickBot="1">
      <c r="C105" s="13" t="s">
        <v>9</v>
      </c>
      <c r="D105" s="29" t="s">
        <v>27</v>
      </c>
      <c r="E105" s="30">
        <v>9.0000000000000008E-4</v>
      </c>
      <c r="F105" s="30">
        <v>1.0501053335004505E-3</v>
      </c>
      <c r="G105" s="30">
        <v>1.2252457904956579E-3</v>
      </c>
      <c r="H105" s="30">
        <v>1.4295968216094066E-3</v>
      </c>
      <c r="I105" s="30">
        <v>1.6680302745859217E-3</v>
      </c>
      <c r="J105" s="30">
        <v>1.9462305419809969E-3</v>
      </c>
      <c r="K105" s="30">
        <v>2.2708300803952414E-3</v>
      </c>
      <c r="L105" s="30">
        <v>2.6495675321069993E-3</v>
      </c>
      <c r="M105" s="30">
        <v>3.0914722188168735E-3</v>
      </c>
      <c r="N105" s="30">
        <v>3.6070794059422998E-3</v>
      </c>
      <c r="O105" s="30">
        <v>4.2086814694884947E-3</v>
      </c>
      <c r="P105" s="30">
        <v>4.9106209534604236E-3</v>
      </c>
      <c r="Q105" s="30">
        <v>5.7296325044753982E-3</v>
      </c>
      <c r="R105" s="30">
        <v>6.6852418354968425E-3</v>
      </c>
      <c r="S105" s="30">
        <v>7.8002312302173056E-3</v>
      </c>
      <c r="T105" s="30">
        <v>9.1011826859866349E-3</v>
      </c>
      <c r="U105" s="30">
        <v>1.0619111644129469E-2</v>
      </c>
      <c r="V105" s="30">
        <v>1.2390206416152322E-2</v>
      </c>
      <c r="W105" s="30">
        <v>1.4456690934192282E-2</v>
      </c>
      <c r="X105" s="30">
        <v>1.6867831394181024E-2</v>
      </c>
      <c r="Y105" s="30">
        <v>1.9681110790684259E-2</v>
      </c>
      <c r="Z105" s="30">
        <v>2.2963599345012003E-2</v>
      </c>
      <c r="AA105" s="30">
        <v>2.6793553498405061E-2</v>
      </c>
      <c r="AB105" s="30">
        <v>3.1262281591227563E-2</v>
      </c>
      <c r="AC105" s="30">
        <v>3.6476320707045568E-2</v>
      </c>
      <c r="AD105" s="30">
        <v>4.2559976578823856E-2</v>
      </c>
      <c r="AE105" s="30">
        <v>4.9658287110085762E-2</v>
      </c>
      <c r="AF105" s="30">
        <v>5.7940480163108585E-2</v>
      </c>
      <c r="AG105" s="30">
        <v>6.7604008049841527E-2</v>
      </c>
      <c r="AH105" s="30">
        <v>7.8879254910162191E-2</v>
      </c>
      <c r="AI105" s="30">
        <v>9.0000000000000011E-2</v>
      </c>
    </row>
    <row r="106" spans="3:35" ht="16" thickTop="1" thickBot="1">
      <c r="C106" s="13" t="s">
        <v>9</v>
      </c>
      <c r="D106" s="29" t="s">
        <v>28</v>
      </c>
      <c r="E106" s="30">
        <v>0.89910000000000001</v>
      </c>
      <c r="F106" s="30">
        <v>0.87904957736838907</v>
      </c>
      <c r="G106" s="30">
        <v>0.85941414475613376</v>
      </c>
      <c r="H106" s="30">
        <v>0.84017979711265289</v>
      </c>
      <c r="I106" s="30">
        <v>0.82133214812594035</v>
      </c>
      <c r="J106" s="30">
        <v>0.80285620931790969</v>
      </c>
      <c r="K106" s="30">
        <v>0.78473624987337831</v>
      </c>
      <c r="L106" s="30">
        <v>0.76695563396951161</v>
      </c>
      <c r="M106" s="30">
        <v>0.74949663183373672</v>
      </c>
      <c r="N106" s="30">
        <v>0.73234020012946766</v>
      </c>
      <c r="O106" s="30">
        <v>0.71546572653543705</v>
      </c>
      <c r="P106" s="30">
        <v>0.69885073252854524</v>
      </c>
      <c r="Q106" s="30">
        <v>0.68247052738148617</v>
      </c>
      <c r="R106" s="30">
        <v>0.66629780522119697</v>
      </c>
      <c r="S106" s="30">
        <v>0.65030217563461257</v>
      </c>
      <c r="T106" s="30">
        <v>0.63444961672188727</v>
      </c>
      <c r="U106" s="30">
        <v>0.61870183764633413</v>
      </c>
      <c r="V106" s="30">
        <v>0.60301553557072418</v>
      </c>
      <c r="W106" s="30">
        <v>0.58734152934977535</v>
      </c>
      <c r="X106" s="30">
        <v>0.5716237494085763</v>
      </c>
      <c r="Y106" s="30">
        <v>0.55579805980624919</v>
      </c>
      <c r="Z106" s="30">
        <v>0.53979088448155199</v>
      </c>
      <c r="AA106" s="30">
        <v>0.52351760500695554</v>
      </c>
      <c r="AB106" s="30">
        <v>0.50688069172863581</v>
      </c>
      <c r="AC106" s="30">
        <v>0.48976752381191341</v>
      </c>
      <c r="AD106" s="30">
        <v>0.47204784629335206</v>
      </c>
      <c r="AE106" s="30">
        <v>0.4535708035851499</v>
      </c>
      <c r="AF106" s="30">
        <v>0.43416147877826616</v>
      </c>
      <c r="AG106" s="30">
        <v>0.41361685630713868</v>
      </c>
      <c r="AH106" s="30">
        <v>0.37</v>
      </c>
      <c r="AI106" s="30">
        <v>0.36000000000000004</v>
      </c>
    </row>
    <row r="107" spans="3:35" ht="16" thickTop="1" thickBot="1">
      <c r="C107" s="13" t="s">
        <v>9</v>
      </c>
      <c r="D107" s="31" t="s">
        <v>10</v>
      </c>
      <c r="E107" s="32">
        <v>0.9</v>
      </c>
      <c r="F107" s="36">
        <v>0.88009968270188943</v>
      </c>
      <c r="G107" s="36">
        <v>0.86063939054662941</v>
      </c>
      <c r="H107" s="36">
        <v>0.84160939393426226</v>
      </c>
      <c r="I107" s="36">
        <v>0.82300017840052631</v>
      </c>
      <c r="J107" s="36">
        <v>0.80480243985989064</v>
      </c>
      <c r="K107" s="36">
        <v>0.78700707995377361</v>
      </c>
      <c r="L107" s="36">
        <v>0.7696052015016186</v>
      </c>
      <c r="M107" s="36">
        <v>0.75258810405255361</v>
      </c>
      <c r="N107" s="36">
        <v>0.73594727953540995</v>
      </c>
      <c r="O107" s="36">
        <v>0.71967440800492555</v>
      </c>
      <c r="P107" s="36">
        <v>0.70376135348200564</v>
      </c>
      <c r="Q107" s="36">
        <v>0.68820015988596162</v>
      </c>
      <c r="R107" s="36">
        <v>0.67298304705669376</v>
      </c>
      <c r="S107" s="36">
        <v>0.6581024068648299</v>
      </c>
      <c r="T107" s="36">
        <v>0.64355079940787396</v>
      </c>
      <c r="U107" s="36">
        <v>0.62932094929046356</v>
      </c>
      <c r="V107" s="36">
        <v>0.61540574198687648</v>
      </c>
      <c r="W107" s="36">
        <v>0.60179822028396757</v>
      </c>
      <c r="X107" s="36">
        <v>0.58849158080275732</v>
      </c>
      <c r="Y107" s="36">
        <v>0.57547917059693343</v>
      </c>
      <c r="Z107" s="36">
        <v>0.56275448382656401</v>
      </c>
      <c r="AA107" s="36">
        <v>0.55031115850536061</v>
      </c>
      <c r="AB107" s="36">
        <v>0.53814297331986338</v>
      </c>
      <c r="AC107" s="36">
        <v>0.526243844518959</v>
      </c>
      <c r="AD107" s="36">
        <v>0.51460782287217588</v>
      </c>
      <c r="AE107" s="36">
        <v>0.50322909069523569</v>
      </c>
      <c r="AF107" s="36">
        <v>0.49210195894137476</v>
      </c>
      <c r="AG107" s="36">
        <v>0.48122086435698019</v>
      </c>
      <c r="AH107" s="36">
        <v>0.47058036670011916</v>
      </c>
      <c r="AI107" s="33">
        <v>0.45</v>
      </c>
    </row>
    <row r="108" spans="3:35" ht="16" thickTop="1" thickBot="1">
      <c r="C108" s="13" t="s">
        <v>9</v>
      </c>
      <c r="D108" s="29" t="s">
        <v>29</v>
      </c>
      <c r="E108" s="37">
        <v>9.9999999999999995E-7</v>
      </c>
      <c r="F108" s="37">
        <v>1.3536503000510761E-6</v>
      </c>
      <c r="G108" s="37">
        <v>1.8323691348283684E-6</v>
      </c>
      <c r="H108" s="37">
        <v>2.4803870291647516E-6</v>
      </c>
      <c r="I108" s="37">
        <v>3.3575766462716634E-6</v>
      </c>
      <c r="J108" s="37">
        <v>4.544984634670123E-6</v>
      </c>
      <c r="K108" s="37">
        <v>6.1523198144487416E-6</v>
      </c>
      <c r="L108" s="37">
        <v>8.3280895628387201E-6</v>
      </c>
      <c r="M108" s="37">
        <v>1.1273320935588869E-5</v>
      </c>
      <c r="N108" s="37">
        <v>1.5260134267031951E-5</v>
      </c>
      <c r="O108" s="37">
        <v>2.0656885329387506E-5</v>
      </c>
      <c r="P108" s="37">
        <v>2.7962199024246069E-5</v>
      </c>
      <c r="Q108" s="37">
        <v>3.7851039099258601E-5</v>
      </c>
      <c r="R108" s="37">
        <v>5.1237070433956415E-5</v>
      </c>
      <c r="S108" s="37">
        <v>6.9357075766663228E-5</v>
      </c>
      <c r="T108" s="37">
        <v>9.388522642220889E-5</v>
      </c>
      <c r="U108" s="37">
        <v>1.2708776491678628E-4</v>
      </c>
      <c r="V108" s="37">
        <v>1.7203239111242836E-4</v>
      </c>
      <c r="W108" s="37">
        <v>2.3287169784784269E-4</v>
      </c>
      <c r="X108" s="37">
        <v>3.1522684366513579E-4</v>
      </c>
      <c r="Y108" s="37">
        <v>4.2670691151146473E-4</v>
      </c>
      <c r="Z108" s="37">
        <v>5.7761193880136207E-4</v>
      </c>
      <c r="AA108" s="37">
        <v>7.8188457427154758E-4</v>
      </c>
      <c r="AB108" s="37">
        <v>1.0583982885679884E-3</v>
      </c>
      <c r="AC108" s="37">
        <v>1.4327011608936029E-3</v>
      </c>
      <c r="AD108" s="37">
        <v>1.9393763563271505E-3</v>
      </c>
      <c r="AE108" s="37">
        <v>2.6252373866542098E-3</v>
      </c>
      <c r="AF108" s="37">
        <v>3.5536533761497745E-3</v>
      </c>
      <c r="AG108" s="37">
        <v>4.8104039589026617E-3</v>
      </c>
      <c r="AH108" s="37">
        <v>6.5116047623354732E-3</v>
      </c>
      <c r="AI108" s="37">
        <v>1.0000000000000002E-2</v>
      </c>
    </row>
    <row r="109" spans="3:35" ht="16" thickTop="1" thickBot="1">
      <c r="C109" s="13" t="s">
        <v>9</v>
      </c>
      <c r="D109" s="29" t="s">
        <v>30</v>
      </c>
      <c r="E109" s="37">
        <v>9.990000000000001E-4</v>
      </c>
      <c r="F109" s="37">
        <v>1.1331489196402421E-3</v>
      </c>
      <c r="G109" s="37">
        <v>1.2852637120663011E-3</v>
      </c>
      <c r="H109" s="37">
        <v>1.4577334248535969E-3</v>
      </c>
      <c r="I109" s="37">
        <v>1.6532587455970332E-3</v>
      </c>
      <c r="J109" s="37">
        <v>1.874890490355396E-3</v>
      </c>
      <c r="K109" s="37">
        <v>2.1260720565987362E-3</v>
      </c>
      <c r="L109" s="37">
        <v>2.4106859451672588E-3</v>
      </c>
      <c r="M109" s="37">
        <v>2.7331043181873442E-3</v>
      </c>
      <c r="N109" s="37">
        <v>3.0982433502046098E-3</v>
      </c>
      <c r="O109" s="37">
        <v>3.5116208193217476E-3</v>
      </c>
      <c r="P109" s="37">
        <v>3.9794159346452657E-3</v>
      </c>
      <c r="Q109" s="37">
        <v>4.5085297522713379E-3</v>
      </c>
      <c r="R109" s="37">
        <v>5.1066436213031688E-3</v>
      </c>
      <c r="S109" s="37">
        <v>5.7822718244545214E-3</v>
      </c>
      <c r="T109" s="37">
        <v>6.5448027992156162E-3</v>
      </c>
      <c r="U109" s="37">
        <v>7.4045208612011767E-3</v>
      </c>
      <c r="V109" s="37">
        <v>8.3725969510028819E-3</v>
      </c>
      <c r="W109" s="37">
        <v>9.4610322499692114E-3</v>
      </c>
      <c r="X109" s="37">
        <v>1.0682532097887665E-2</v>
      </c>
      <c r="Y109" s="37">
        <v>1.2050278871264026E-2</v>
      </c>
      <c r="Z109" s="37">
        <v>1.3577560496865931E-2</v>
      </c>
      <c r="AA109" s="37">
        <v>1.5277194931940994E-2</v>
      </c>
      <c r="AB109" s="37">
        <v>1.7160668682105633E-2</v>
      </c>
      <c r="AC109" s="37">
        <v>1.923687713924993E-2</v>
      </c>
      <c r="AD109" s="37">
        <v>2.1510313344767804E-2</v>
      </c>
      <c r="AE109" s="37">
        <v>2.3978495843540434E-2</v>
      </c>
      <c r="AF109" s="37">
        <v>2.6628350343512026E-2</v>
      </c>
      <c r="AG109" s="37">
        <v>2.9431156827001138E-2</v>
      </c>
      <c r="AH109" s="37">
        <v>3.2335533948039154E-2</v>
      </c>
      <c r="AI109" s="37">
        <v>4.0000000000000008E-2</v>
      </c>
    </row>
    <row r="110" spans="3:35" ht="16" thickTop="1" thickBot="1">
      <c r="C110" s="13" t="s">
        <v>9</v>
      </c>
      <c r="D110" s="31" t="s">
        <v>21</v>
      </c>
      <c r="E110" s="35">
        <v>1E-3</v>
      </c>
      <c r="F110" s="36">
        <v>1.134502569940293E-3</v>
      </c>
      <c r="G110" s="36">
        <v>1.2870960812011295E-3</v>
      </c>
      <c r="H110" s="36">
        <v>1.4602138118827617E-3</v>
      </c>
      <c r="I110" s="36">
        <v>1.6566163222433048E-3</v>
      </c>
      <c r="J110" s="36">
        <v>1.879435474990066E-3</v>
      </c>
      <c r="K110" s="36">
        <v>2.1322243764131852E-3</v>
      </c>
      <c r="L110" s="36">
        <v>2.4190140347300974E-3</v>
      </c>
      <c r="M110" s="36">
        <v>2.7443776391229331E-3</v>
      </c>
      <c r="N110" s="36">
        <v>3.1135034844716417E-3</v>
      </c>
      <c r="O110" s="36">
        <v>3.5322777046511351E-3</v>
      </c>
      <c r="P110" s="36">
        <v>4.0073781336695119E-3</v>
      </c>
      <c r="Q110" s="36">
        <v>4.5463807913705967E-3</v>
      </c>
      <c r="R110" s="36">
        <v>5.1578806917371251E-3</v>
      </c>
      <c r="S110" s="36">
        <v>5.8516289002211851E-3</v>
      </c>
      <c r="T110" s="36">
        <v>6.6386880256378254E-3</v>
      </c>
      <c r="U110" s="36">
        <v>7.5316086261179634E-3</v>
      </c>
      <c r="V110" s="36">
        <v>8.5446293421153098E-3</v>
      </c>
      <c r="W110" s="36">
        <v>9.6939039478170543E-3</v>
      </c>
      <c r="X110" s="36">
        <v>1.0997758941552801E-2</v>
      </c>
      <c r="Y110" s="36">
        <v>1.247698578277549E-2</v>
      </c>
      <c r="Z110" s="36">
        <v>1.4155172435667293E-2</v>
      </c>
      <c r="AA110" s="36">
        <v>1.6059079506212541E-2</v>
      </c>
      <c r="AB110" s="36">
        <v>1.821906697067362E-2</v>
      </c>
      <c r="AC110" s="36">
        <v>2.0669578300143533E-2</v>
      </c>
      <c r="AD110" s="36">
        <v>2.3449689701094952E-2</v>
      </c>
      <c r="AE110" s="36">
        <v>2.6603733230194646E-2</v>
      </c>
      <c r="AF110" s="36">
        <v>3.0182003719661801E-2</v>
      </c>
      <c r="AG110" s="36">
        <v>3.4241560785903798E-2</v>
      </c>
      <c r="AH110" s="36">
        <v>3.8847138710374624E-2</v>
      </c>
      <c r="AI110" s="33">
        <v>0.05</v>
      </c>
    </row>
    <row r="111" spans="3:35" ht="16" thickTop="1" thickBot="1">
      <c r="C111" s="13" t="s">
        <v>9</v>
      </c>
      <c r="D111" s="31" t="s">
        <v>25</v>
      </c>
      <c r="E111" s="35">
        <v>0.1</v>
      </c>
      <c r="F111" s="33">
        <v>0.11876581472817027</v>
      </c>
      <c r="G111" s="33">
        <v>0.13807351337216944</v>
      </c>
      <c r="H111" s="33">
        <v>0.15693039225385497</v>
      </c>
      <c r="I111" s="33">
        <v>0.17534320527723035</v>
      </c>
      <c r="J111" s="33">
        <v>0.19331812466511933</v>
      </c>
      <c r="K111" s="33">
        <v>0.21086069566981325</v>
      </c>
      <c r="L111" s="33">
        <v>0.2279757844636513</v>
      </c>
      <c r="M111" s="33">
        <v>0.24466751830832345</v>
      </c>
      <c r="N111" s="33">
        <v>0.26093921698011846</v>
      </c>
      <c r="O111" s="33">
        <v>0.27679331429042331</v>
      </c>
      <c r="P111" s="33">
        <v>0.29223126838432489</v>
      </c>
      <c r="Q111" s="33">
        <v>0.30725345932266779</v>
      </c>
      <c r="R111" s="33">
        <v>0.32185907225156907</v>
      </c>
      <c r="S111" s="33">
        <v>0.33604596423494892</v>
      </c>
      <c r="T111" s="33">
        <v>0.34981051256648821</v>
      </c>
      <c r="U111" s="33">
        <v>0.36314744208341843</v>
      </c>
      <c r="V111" s="33">
        <v>0.37604962867100822</v>
      </c>
      <c r="W111" s="33">
        <v>0.38850787576821533</v>
      </c>
      <c r="X111" s="33">
        <v>0.40051066025568993</v>
      </c>
      <c r="Y111" s="33">
        <v>0.41204384362029112</v>
      </c>
      <c r="Z111" s="33">
        <v>0.42309034373776866</v>
      </c>
      <c r="AA111" s="33">
        <v>0.43362976198842684</v>
      </c>
      <c r="AB111" s="33">
        <v>0.44363795970946296</v>
      </c>
      <c r="AC111" s="33">
        <v>0.45308657718089751</v>
      </c>
      <c r="AD111" s="33">
        <v>0.46194248742672916</v>
      </c>
      <c r="AE111" s="33">
        <v>0.4701671760745697</v>
      </c>
      <c r="AF111" s="33">
        <v>0.4777160373389634</v>
      </c>
      <c r="AG111" s="33">
        <v>0.48453757485711602</v>
      </c>
      <c r="AH111" s="33">
        <v>0.49057249458950625</v>
      </c>
      <c r="AI111" s="33">
        <v>0.49999999999999994</v>
      </c>
    </row>
    <row r="112" spans="3:35" ht="14.25" customHeight="1" thickTop="1" thickBot="1"/>
    <row r="113" spans="2:36" ht="16" thickTop="1" thickBot="1">
      <c r="C113" s="13" t="s">
        <v>11</v>
      </c>
      <c r="D113" s="29" t="s">
        <v>27</v>
      </c>
      <c r="E113" s="30">
        <v>9.0000000000000008E-4</v>
      </c>
      <c r="F113" s="30">
        <v>1.0902270942980206E-3</v>
      </c>
      <c r="G113" s="30">
        <v>1.3214840457405424E-3</v>
      </c>
      <c r="H113" s="30">
        <v>1.6009435468403357E-3</v>
      </c>
      <c r="I113" s="30">
        <v>1.9383782549023032E-3</v>
      </c>
      <c r="J113" s="30">
        <v>2.3454500877901482E-3</v>
      </c>
      <c r="K113" s="30">
        <v>2.8360428729351885E-3</v>
      </c>
      <c r="L113" s="30">
        <v>3.4266411123645892E-3</v>
      </c>
      <c r="M113" s="30">
        <v>4.1367558814068041E-3</v>
      </c>
      <c r="N113" s="30">
        <v>4.9893958947302081E-3</v>
      </c>
      <c r="O113" s="30">
        <v>6.0115769523677535E-3</v>
      </c>
      <c r="P113" s="30">
        <v>7.2348554611115362E-3</v>
      </c>
      <c r="Q113" s="30">
        <v>8.6958602817193663E-3</v>
      </c>
      <c r="R113" s="30">
        <v>1.0436780017988298E-2</v>
      </c>
      <c r="S113" s="30">
        <v>1.2505737522010577E-2</v>
      </c>
      <c r="T113" s="30">
        <v>1.4956946244287918E-2</v>
      </c>
      <c r="U113" s="30">
        <v>1.7850488971434385E-2</v>
      </c>
      <c r="V113" s="30">
        <v>2.1251481131326095E-2</v>
      </c>
      <c r="W113" s="30">
        <v>2.5228267722349391E-2</v>
      </c>
      <c r="X113" s="30">
        <v>2.9849140051252353E-2</v>
      </c>
      <c r="Y113" s="30">
        <v>3.5176824397611668E-2</v>
      </c>
      <c r="Z113" s="30">
        <v>4.1259658752999473E-2</v>
      </c>
      <c r="AA113" s="30">
        <v>4.8117891895638538E-2</v>
      </c>
      <c r="AB113" s="30">
        <v>5.57228481139403E-2</v>
      </c>
      <c r="AC113" s="30">
        <v>6.3965710212246105E-2</v>
      </c>
      <c r="AD113" s="30">
        <v>7.2611252687741351E-2</v>
      </c>
      <c r="AE113" s="30">
        <v>8.1229818642231291E-2</v>
      </c>
      <c r="AF113" s="30">
        <v>8.9097908040980431E-2</v>
      </c>
      <c r="AG113" s="30">
        <v>9.5053542105167546E-2</v>
      </c>
      <c r="AH113" s="30">
        <v>9.7286527369321182E-2</v>
      </c>
      <c r="AI113" s="30">
        <v>6.4000000000000001E-2</v>
      </c>
    </row>
    <row r="114" spans="2:36" ht="16" thickTop="1" thickBot="1">
      <c r="C114" s="13" t="s">
        <v>11</v>
      </c>
      <c r="D114" s="29" t="s">
        <v>28</v>
      </c>
      <c r="E114" s="30">
        <v>0.89910000000000001</v>
      </c>
      <c r="F114" s="30">
        <v>0.89176621784942545</v>
      </c>
      <c r="G114" s="30">
        <v>0.88499996252787771</v>
      </c>
      <c r="H114" s="30">
        <v>0.8777657627628308</v>
      </c>
      <c r="I114" s="30">
        <v>0.8700228952109289</v>
      </c>
      <c r="J114" s="30">
        <v>0.86172575010298647</v>
      </c>
      <c r="K114" s="30">
        <v>0.85282309679171864</v>
      </c>
      <c r="L114" s="30">
        <v>0.84325723606007075</v>
      </c>
      <c r="M114" s="30">
        <v>0.83296302582127801</v>
      </c>
      <c r="N114" s="30">
        <v>0.82186676747467857</v>
      </c>
      <c r="O114" s="30">
        <v>0.80988494219877982</v>
      </c>
      <c r="P114" s="30">
        <v>0.79692279063699367</v>
      </c>
      <c r="Q114" s="30">
        <v>0.78287273688900905</v>
      </c>
      <c r="R114" s="30">
        <v>0.76761267009929801</v>
      </c>
      <c r="S114" s="30">
        <v>0.75100411660323307</v>
      </c>
      <c r="T114" s="30">
        <v>0.73289036597010815</v>
      </c>
      <c r="U114" s="30">
        <v>0.71309466029603197</v>
      </c>
      <c r="V114" s="30">
        <v>0.69141862483252059</v>
      </c>
      <c r="W114" s="30">
        <v>0.66764121967105927</v>
      </c>
      <c r="X114" s="30">
        <v>0.64151864136924652</v>
      </c>
      <c r="Y114" s="30">
        <v>0.61278582111710356</v>
      </c>
      <c r="Z114" s="30">
        <v>0.58116048250019547</v>
      </c>
      <c r="AA114" s="30">
        <v>0.54635118052277198</v>
      </c>
      <c r="AB114" s="30">
        <v>0.50807140672335915</v>
      </c>
      <c r="AC114" s="30">
        <v>0.46606280275021544</v>
      </c>
      <c r="AD114" s="30">
        <v>0.42013190595883221</v>
      </c>
      <c r="AE114" s="30">
        <v>0.3702068417266336</v>
      </c>
      <c r="AF114" s="30">
        <v>0.31642324681881606</v>
      </c>
      <c r="AG114" s="30">
        <v>0.25925284376843799</v>
      </c>
      <c r="AH114" s="30">
        <v>0.19969404730437434</v>
      </c>
      <c r="AI114" s="30">
        <v>9.6000000000000002E-2</v>
      </c>
    </row>
    <row r="115" spans="2:36" ht="16" thickTop="1" thickBot="1">
      <c r="C115" s="13" t="s">
        <v>11</v>
      </c>
      <c r="D115" s="31" t="s">
        <v>10</v>
      </c>
      <c r="E115" s="38">
        <v>0.9</v>
      </c>
      <c r="F115" s="36">
        <v>0.89285644494372352</v>
      </c>
      <c r="G115" s="36">
        <v>0.88632144657361822</v>
      </c>
      <c r="H115" s="36">
        <v>0.87936670630967118</v>
      </c>
      <c r="I115" s="36">
        <v>0.87196127346583119</v>
      </c>
      <c r="J115" s="36">
        <v>0.86407120019077666</v>
      </c>
      <c r="K115" s="36">
        <v>0.85565913966465379</v>
      </c>
      <c r="L115" s="36">
        <v>0.84668387717243532</v>
      </c>
      <c r="M115" s="36">
        <v>0.83709978170268484</v>
      </c>
      <c r="N115" s="36">
        <v>0.82685616336940881</v>
      </c>
      <c r="O115" s="36">
        <v>0.81589651915114758</v>
      </c>
      <c r="P115" s="36">
        <v>0.80415764609810525</v>
      </c>
      <c r="Q115" s="36">
        <v>0.79156859717072836</v>
      </c>
      <c r="R115" s="36">
        <v>0.77804945011728632</v>
      </c>
      <c r="S115" s="36">
        <v>0.76350985412524364</v>
      </c>
      <c r="T115" s="36">
        <v>0.74784731221439604</v>
      </c>
      <c r="U115" s="36">
        <v>0.73094514926746634</v>
      </c>
      <c r="V115" s="36">
        <v>0.71267010596384672</v>
      </c>
      <c r="W115" s="36">
        <v>0.6928694873934087</v>
      </c>
      <c r="X115" s="36">
        <v>0.67136778142049891</v>
      </c>
      <c r="Y115" s="36">
        <v>0.64796264551471527</v>
      </c>
      <c r="Z115" s="36">
        <v>0.622420141253195</v>
      </c>
      <c r="AA115" s="36">
        <v>0.59446907241841052</v>
      </c>
      <c r="AB115" s="36">
        <v>0.5637942548372995</v>
      </c>
      <c r="AC115" s="36">
        <v>0.53002851296246156</v>
      </c>
      <c r="AD115" s="36">
        <v>0.49274315864657359</v>
      </c>
      <c r="AE115" s="36">
        <v>0.45143666036886487</v>
      </c>
      <c r="AF115" s="36">
        <v>0.40552115485979651</v>
      </c>
      <c r="AG115" s="36">
        <v>0.35430638587360552</v>
      </c>
      <c r="AH115" s="36">
        <v>0.29698057467369554</v>
      </c>
      <c r="AI115" s="33">
        <v>0.16</v>
      </c>
    </row>
    <row r="116" spans="2:36" ht="16" thickTop="1" thickBot="1">
      <c r="C116" s="13" t="s">
        <v>11</v>
      </c>
      <c r="D116" s="29" t="s">
        <v>29</v>
      </c>
      <c r="E116" s="30">
        <v>9.9999999999999995E-7</v>
      </c>
      <c r="F116" s="30">
        <v>1.4571905322090615E-6</v>
      </c>
      <c r="G116" s="30">
        <v>2.1234042471597277E-6</v>
      </c>
      <c r="H116" s="30">
        <v>3.0942045650136651E-6</v>
      </c>
      <c r="I116" s="30">
        <v>4.5088455968559697E-6</v>
      </c>
      <c r="J116" s="30">
        <v>6.5702471149310339E-6</v>
      </c>
      <c r="K116" s="30">
        <v>9.5741018901514048E-6</v>
      </c>
      <c r="L116" s="30">
        <v>1.3951290628733506E-5</v>
      </c>
      <c r="M116" s="30">
        <v>2.0329688616287467E-5</v>
      </c>
      <c r="N116" s="30">
        <v>2.9624229774412428E-5</v>
      </c>
      <c r="O116" s="30">
        <v>4.3168147151259572E-5</v>
      </c>
      <c r="P116" s="30">
        <v>6.2904215321823E-5</v>
      </c>
      <c r="Q116" s="30">
        <v>9.1663427003000659E-5</v>
      </c>
      <c r="R116" s="30">
        <v>1.3357107797860897E-4</v>
      </c>
      <c r="S116" s="30">
        <v>1.9463851020738726E-4</v>
      </c>
      <c r="T116" s="30">
        <v>2.8362539427748145E-4</v>
      </c>
      <c r="U116" s="30">
        <v>4.1329623923520804E-4</v>
      </c>
      <c r="V116" s="30">
        <v>6.0225136681115636E-4</v>
      </c>
      <c r="W116" s="30">
        <v>8.7759498972718366E-4</v>
      </c>
      <c r="X116" s="30">
        <v>1.2788231101445605E-3</v>
      </c>
      <c r="Y116" s="30">
        <v>1.8634889284727992E-3</v>
      </c>
      <c r="Z116" s="30">
        <v>2.7154584234469715E-3</v>
      </c>
      <c r="AA116" s="30">
        <v>3.9569403052542706E-3</v>
      </c>
      <c r="AB116" s="30">
        <v>5.7660159493329562E-3</v>
      </c>
      <c r="AC116" s="30">
        <v>8.4021838499344255E-3</v>
      </c>
      <c r="AD116" s="30">
        <v>1.2243582756004328E-2</v>
      </c>
      <c r="AE116" s="30">
        <v>1.7841232872367635E-2</v>
      </c>
      <c r="AF116" s="30">
        <v>2.5998075624551191E-2</v>
      </c>
      <c r="AG116" s="30">
        <v>3.7884149655751174E-2</v>
      </c>
      <c r="AH116" s="30">
        <v>5.5204424199151773E-2</v>
      </c>
      <c r="AI116" s="30">
        <v>9.6000000000000002E-2</v>
      </c>
    </row>
    <row r="117" spans="2:36" s="40" customFormat="1" ht="16" thickTop="1" thickBot="1">
      <c r="B117" s="5"/>
      <c r="C117" s="13" t="s">
        <v>11</v>
      </c>
      <c r="D117" s="29" t="s">
        <v>30</v>
      </c>
      <c r="E117" s="39">
        <v>9.9899999999999988E-7</v>
      </c>
      <c r="F117" s="39">
        <v>1.1919289993712512E-3</v>
      </c>
      <c r="G117" s="39">
        <v>1.4220471940051378E-3</v>
      </c>
      <c r="H117" s="39">
        <v>1.6964913194558271E-3</v>
      </c>
      <c r="I117" s="39">
        <v>2.0237530473294512E-3</v>
      </c>
      <c r="J117" s="39">
        <v>2.4139294854107745E-3</v>
      </c>
      <c r="K117" s="39">
        <v>2.8790168515710449E-3</v>
      </c>
      <c r="L117" s="39">
        <v>3.4332532615119265E-3</v>
      </c>
      <c r="M117" s="39">
        <v>4.0935166176807184E-3</v>
      </c>
      <c r="N117" s="39">
        <v>4.8797831395457937E-3</v>
      </c>
      <c r="O117" s="39">
        <v>5.8156508080057512E-3</v>
      </c>
      <c r="P117" s="39">
        <v>6.9289294149071732E-3</v>
      </c>
      <c r="Q117" s="39">
        <v>8.2522942694148588E-3</v>
      </c>
      <c r="R117" s="39">
        <v>9.823992806065154E-3</v>
      </c>
      <c r="S117" s="39">
        <v>1.1688580714091899E-2</v>
      </c>
      <c r="T117" s="39">
        <v>1.3897644319596595E-2</v>
      </c>
      <c r="U117" s="39">
        <v>1.6510435192598306E-2</v>
      </c>
      <c r="V117" s="39">
        <v>1.9594296005574073E-2</v>
      </c>
      <c r="W117" s="39">
        <v>2.3224685728208364E-2</v>
      </c>
      <c r="X117" s="39">
        <v>2.7484505843816176E-2</v>
      </c>
      <c r="Y117" s="39">
        <v>3.2462270620834281E-2</v>
      </c>
      <c r="Z117" s="39">
        <v>3.8248428980642922E-2</v>
      </c>
      <c r="AA117" s="39">
        <v>4.4928797207546903E-2</v>
      </c>
      <c r="AB117" s="39">
        <v>5.2573548081689486E-2</v>
      </c>
      <c r="AC117" s="39">
        <v>6.1219446189676396E-2</v>
      </c>
      <c r="AD117" s="39">
        <v>7.0841909051835114E-2</v>
      </c>
      <c r="AE117" s="39">
        <v>8.1311845632445034E-2</v>
      </c>
      <c r="AF117" s="39">
        <v>9.232983894950586E-2</v>
      </c>
      <c r="AG117" s="39">
        <v>0.10332674947700488</v>
      </c>
      <c r="AH117" s="39">
        <v>0.11331471268972979</v>
      </c>
      <c r="AI117" s="39">
        <v>0.14399999999999999</v>
      </c>
    </row>
    <row r="118" spans="2:36" ht="16" thickTop="1" thickBot="1">
      <c r="C118" s="13" t="s">
        <v>11</v>
      </c>
      <c r="D118" s="31" t="s">
        <v>21</v>
      </c>
      <c r="E118" s="35">
        <v>1E-3</v>
      </c>
      <c r="F118" s="33">
        <v>1.1933861899034602E-3</v>
      </c>
      <c r="G118" s="33">
        <v>1.4241705982522975E-3</v>
      </c>
      <c r="H118" s="33">
        <v>1.6995855240208408E-3</v>
      </c>
      <c r="I118" s="33">
        <v>2.0282618929263071E-3</v>
      </c>
      <c r="J118" s="33">
        <v>2.4204997325257055E-3</v>
      </c>
      <c r="K118" s="33">
        <v>2.8885909534611962E-3</v>
      </c>
      <c r="L118" s="33">
        <v>3.4472045521406602E-3</v>
      </c>
      <c r="M118" s="33">
        <v>4.113846306297006E-3</v>
      </c>
      <c r="N118" s="33">
        <v>4.9094073693202065E-3</v>
      </c>
      <c r="O118" s="33">
        <v>5.8588189551570108E-3</v>
      </c>
      <c r="P118" s="33">
        <v>6.991833630228996E-3</v>
      </c>
      <c r="Q118" s="33">
        <v>8.3439576964178599E-3</v>
      </c>
      <c r="R118" s="33">
        <v>9.9575638840437627E-3</v>
      </c>
      <c r="S118" s="33">
        <v>1.1883219224299286E-2</v>
      </c>
      <c r="T118" s="33">
        <v>1.4181269713874076E-2</v>
      </c>
      <c r="U118" s="33">
        <v>1.6923731431833514E-2</v>
      </c>
      <c r="V118" s="33">
        <v>2.0196547372385229E-2</v>
      </c>
      <c r="W118" s="33">
        <v>2.4102280717935548E-2</v>
      </c>
      <c r="X118" s="33">
        <v>2.8763328953960738E-2</v>
      </c>
      <c r="Y118" s="33">
        <v>3.4325759549307083E-2</v>
      </c>
      <c r="Z118" s="33">
        <v>4.0963887404089891E-2</v>
      </c>
      <c r="AA118" s="33">
        <v>4.8885737512801175E-2</v>
      </c>
      <c r="AB118" s="33">
        <v>5.8339564031022445E-2</v>
      </c>
      <c r="AC118" s="33">
        <v>6.9621630039610818E-2</v>
      </c>
      <c r="AD118" s="33">
        <v>8.3085491807839446E-2</v>
      </c>
      <c r="AE118" s="33">
        <v>9.9153078504812669E-2</v>
      </c>
      <c r="AF118" s="33">
        <v>0.11832791457405706</v>
      </c>
      <c r="AG118" s="33">
        <v>0.14121089913275606</v>
      </c>
      <c r="AH118" s="33">
        <v>0.16851913688888157</v>
      </c>
      <c r="AI118" s="33">
        <v>0.24</v>
      </c>
    </row>
    <row r="119" spans="2:36" ht="16" thickTop="1" thickBot="1">
      <c r="C119" s="13" t="s">
        <v>11</v>
      </c>
      <c r="D119" s="31" t="s">
        <v>25</v>
      </c>
      <c r="E119" s="35">
        <v>0.1</v>
      </c>
      <c r="F119" s="33">
        <v>0.10595016886637297</v>
      </c>
      <c r="G119" s="33">
        <v>0.11225438282812948</v>
      </c>
      <c r="H119" s="33">
        <v>0.11893370816630795</v>
      </c>
      <c r="I119" s="33">
        <v>0.12601046464124249</v>
      </c>
      <c r="J119" s="33">
        <v>0.13350830007669762</v>
      </c>
      <c r="K119" s="33">
        <v>0.14145226938188507</v>
      </c>
      <c r="L119" s="33">
        <v>0.14986891827542401</v>
      </c>
      <c r="M119" s="33">
        <v>0.15878637199101822</v>
      </c>
      <c r="N119" s="33">
        <v>0.16823442926127094</v>
      </c>
      <c r="O119" s="33">
        <v>0.17824466189369534</v>
      </c>
      <c r="P119" s="33">
        <v>0.18885052027166574</v>
      </c>
      <c r="Q119" s="33">
        <v>0.20008744513285376</v>
      </c>
      <c r="R119" s="33">
        <v>0.21199298599866992</v>
      </c>
      <c r="S119" s="33">
        <v>0.22460692665045717</v>
      </c>
      <c r="T119" s="33">
        <v>0.23797141807172983</v>
      </c>
      <c r="U119" s="33">
        <v>0.25213111930070015</v>
      </c>
      <c r="V119" s="33">
        <v>0.26713334666376809</v>
      </c>
      <c r="W119" s="33">
        <v>0.28302823188865578</v>
      </c>
      <c r="X119" s="33">
        <v>0.29986888962554042</v>
      </c>
      <c r="Y119" s="33">
        <v>0.31771159493597761</v>
      </c>
      <c r="Z119" s="33">
        <v>0.33661597134271515</v>
      </c>
      <c r="AA119" s="33">
        <v>0.35664519006878831</v>
      </c>
      <c r="AB119" s="33">
        <v>0.37786618113167803</v>
      </c>
      <c r="AC119" s="33">
        <v>0.40034985699792758</v>
      </c>
      <c r="AD119" s="33">
        <v>0.42417134954558694</v>
      </c>
      <c r="AE119" s="33">
        <v>0.44941026112632249</v>
      </c>
      <c r="AF119" s="33">
        <v>0.47615093056614638</v>
      </c>
      <c r="AG119" s="33">
        <v>0.50448271499363839</v>
      </c>
      <c r="AH119" s="33">
        <v>0.53450028843742292</v>
      </c>
      <c r="AI119" s="33">
        <v>0.6</v>
      </c>
    </row>
    <row r="120" spans="2:36" ht="14.25" customHeight="1" thickTop="1">
      <c r="D120" s="41"/>
      <c r="F120" s="42"/>
      <c r="G120" s="42"/>
      <c r="H120" s="42"/>
      <c r="P120" s="43">
        <f>(T118/O118)^(1/5)-1</f>
        <v>0.19338618990346013</v>
      </c>
      <c r="U120" s="43">
        <f>(Y118/T118)^(1/5)-1</f>
        <v>0.19338618990346013</v>
      </c>
      <c r="Z120" s="43">
        <f>(AD118/Y118)^(1/5)-1</f>
        <v>0.19338618990346013</v>
      </c>
      <c r="AE120" s="43">
        <f>(AI118/AD118)^(1/5)-1</f>
        <v>0.23633797569358306</v>
      </c>
    </row>
    <row r="121" spans="2:36" ht="14.25" customHeight="1">
      <c r="D121" s="41"/>
      <c r="U121" s="43">
        <f>(Y119/T119)^(1/5)-1</f>
        <v>5.9501688663729624E-2</v>
      </c>
      <c r="Z121" s="43">
        <f>(AD119/Y119)^(1/5)-1</f>
        <v>5.9501688663729624E-2</v>
      </c>
      <c r="AE121" s="43">
        <f>(AI119/AD119)^(1/5)-1</f>
        <v>7.1820314005342833E-2</v>
      </c>
    </row>
    <row r="122" spans="2:36" ht="15" thickBot="1">
      <c r="B122" s="6" t="s">
        <v>31</v>
      </c>
      <c r="E122" s="1">
        <v>2020</v>
      </c>
      <c r="F122" s="1">
        <v>2021</v>
      </c>
      <c r="G122" s="1">
        <v>2022</v>
      </c>
      <c r="H122" s="1">
        <v>2023</v>
      </c>
      <c r="I122" s="1">
        <v>2024</v>
      </c>
      <c r="J122" s="1">
        <v>2025</v>
      </c>
      <c r="K122" s="1">
        <v>2026</v>
      </c>
      <c r="L122" s="1">
        <v>2027</v>
      </c>
      <c r="M122" s="1">
        <v>2028</v>
      </c>
      <c r="N122" s="1">
        <v>2029</v>
      </c>
      <c r="O122" s="1">
        <v>2030</v>
      </c>
      <c r="P122" s="1">
        <v>2031</v>
      </c>
      <c r="Q122" s="1">
        <v>2032</v>
      </c>
      <c r="R122" s="1">
        <v>2033</v>
      </c>
      <c r="S122" s="1">
        <v>2034</v>
      </c>
      <c r="T122" s="1">
        <v>2035</v>
      </c>
      <c r="U122" s="1">
        <v>2036</v>
      </c>
      <c r="V122" s="1">
        <v>2037</v>
      </c>
      <c r="W122" s="1">
        <v>2038</v>
      </c>
      <c r="X122" s="1">
        <v>2039</v>
      </c>
      <c r="Y122" s="1">
        <v>2040</v>
      </c>
      <c r="Z122" s="1">
        <v>2041</v>
      </c>
      <c r="AA122" s="1">
        <v>2042</v>
      </c>
      <c r="AB122" s="1">
        <v>2043</v>
      </c>
      <c r="AC122" s="1">
        <v>2044</v>
      </c>
      <c r="AD122" s="1">
        <v>2045</v>
      </c>
      <c r="AE122" s="1">
        <v>2046</v>
      </c>
      <c r="AF122" s="1">
        <v>2047</v>
      </c>
      <c r="AG122" s="1">
        <v>2048</v>
      </c>
      <c r="AH122" s="1">
        <v>2049</v>
      </c>
      <c r="AI122" s="1">
        <v>2050</v>
      </c>
    </row>
    <row r="123" spans="2:36" ht="16" thickTop="1" thickBot="1">
      <c r="C123" s="13" t="s">
        <v>5</v>
      </c>
      <c r="D123" s="44" t="s">
        <v>32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</row>
    <row r="124" spans="2:36" ht="16" thickTop="1" thickBot="1">
      <c r="C124" s="13" t="s">
        <v>5</v>
      </c>
      <c r="D124" s="44" t="s">
        <v>29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</row>
    <row r="125" spans="2:36" ht="16" thickTop="1" thickBot="1">
      <c r="E125" s="21"/>
    </row>
    <row r="126" spans="2:36" ht="16" thickTop="1" thickBot="1">
      <c r="C126" s="13" t="s">
        <v>9</v>
      </c>
      <c r="D126" s="44" t="s">
        <v>32</v>
      </c>
      <c r="E126" s="39">
        <v>1E-3</v>
      </c>
      <c r="F126" s="39">
        <v>1.1931663584704938E-3</v>
      </c>
      <c r="G126" s="39">
        <v>1.4236459589857388E-3</v>
      </c>
      <c r="H126" s="39">
        <v>1.6986464646342478E-3</v>
      </c>
      <c r="I126" s="39">
        <v>2.0267678165364236E-3</v>
      </c>
      <c r="J126" s="39">
        <v>2.4182711751219582E-3</v>
      </c>
      <c r="K126" s="39">
        <v>2.8853998118144285E-3</v>
      </c>
      <c r="L126" s="39">
        <v>3.4427619861940695E-3</v>
      </c>
      <c r="M126" s="39">
        <v>4.1077877821478221E-3</v>
      </c>
      <c r="N126" s="39">
        <v>4.9012741893949023E-3</v>
      </c>
      <c r="O126" s="39">
        <v>5.8480354764257362E-3</v>
      </c>
      <c r="P126" s="39">
        <v>6.9776791936131547E-3</v>
      </c>
      <c r="Q126" s="39">
        <v>8.3255320740187391E-3</v>
      </c>
      <c r="R126" s="39">
        <v>9.933744787086236E-3</v>
      </c>
      <c r="S126" s="39">
        <v>1.1852610093582934E-2</v>
      </c>
      <c r="T126" s="39">
        <v>1.4142135623730966E-2</v>
      </c>
      <c r="U126" s="39">
        <v>1.6873920463162922E-2</v>
      </c>
      <c r="V126" s="39">
        <v>2.0133394232152848E-2</v>
      </c>
      <c r="W126" s="39">
        <v>2.4022488679628654E-2</v>
      </c>
      <c r="X126" s="39">
        <v>2.866282533927118E-2</v>
      </c>
      <c r="Y126" s="39">
        <v>3.4199518933533984E-2</v>
      </c>
      <c r="Z126" s="39">
        <v>4.0805715467367443E-2</v>
      </c>
      <c r="AA126" s="39">
        <v>4.8688006928981911E-2</v>
      </c>
      <c r="AB126" s="39">
        <v>5.8092891928639513E-2</v>
      </c>
      <c r="AC126" s="39">
        <v>6.9314484315514749E-2</v>
      </c>
      <c r="AD126" s="39">
        <v>8.2703710840002886E-2</v>
      </c>
      <c r="AE126" s="39">
        <v>9.8679285494962937E-2</v>
      </c>
      <c r="AF126" s="39">
        <v>0.11774080373049514</v>
      </c>
      <c r="AG126" s="39">
        <v>0.14048436603050402</v>
      </c>
      <c r="AH126" s="39">
        <v>0.16762121943865241</v>
      </c>
      <c r="AI126" s="39">
        <v>0.2</v>
      </c>
      <c r="AJ126" s="39"/>
    </row>
    <row r="127" spans="2:36" ht="16" thickTop="1" thickBot="1">
      <c r="C127" s="13" t="s">
        <v>9</v>
      </c>
      <c r="D127" s="44" t="s">
        <v>29</v>
      </c>
      <c r="E127" s="39">
        <v>1E-3</v>
      </c>
      <c r="F127" s="39">
        <v>1.1931663584704938E-3</v>
      </c>
      <c r="G127" s="39">
        <v>1.4236459589857388E-3</v>
      </c>
      <c r="H127" s="39">
        <v>1.6986464646342478E-3</v>
      </c>
      <c r="I127" s="39">
        <v>2.0267678165364236E-3</v>
      </c>
      <c r="J127" s="39">
        <v>2.4182711751219582E-3</v>
      </c>
      <c r="K127" s="39">
        <v>2.8853998118144285E-3</v>
      </c>
      <c r="L127" s="39">
        <v>3.4427619861940695E-3</v>
      </c>
      <c r="M127" s="39">
        <v>4.1077877821478221E-3</v>
      </c>
      <c r="N127" s="39">
        <v>4.9012741893949023E-3</v>
      </c>
      <c r="O127" s="39">
        <v>5.8480354764257362E-3</v>
      </c>
      <c r="P127" s="39">
        <v>6.9776791936131547E-3</v>
      </c>
      <c r="Q127" s="39">
        <v>8.3255320740187391E-3</v>
      </c>
      <c r="R127" s="39">
        <v>9.933744787086236E-3</v>
      </c>
      <c r="S127" s="39">
        <v>1.1852610093582934E-2</v>
      </c>
      <c r="T127" s="39">
        <v>1.4142135623730966E-2</v>
      </c>
      <c r="U127" s="39">
        <v>1.6873920463162922E-2</v>
      </c>
      <c r="V127" s="39">
        <v>2.0133394232152848E-2</v>
      </c>
      <c r="W127" s="39">
        <v>2.4022488679628654E-2</v>
      </c>
      <c r="X127" s="39">
        <v>2.866282533927118E-2</v>
      </c>
      <c r="Y127" s="39">
        <v>3.4199518933533984E-2</v>
      </c>
      <c r="Z127" s="39">
        <v>4.0805715467367443E-2</v>
      </c>
      <c r="AA127" s="39">
        <v>4.8688006928981911E-2</v>
      </c>
      <c r="AB127" s="39">
        <v>5.8092891928639513E-2</v>
      </c>
      <c r="AC127" s="39">
        <v>6.9314484315514749E-2</v>
      </c>
      <c r="AD127" s="39">
        <v>8.2703710840002886E-2</v>
      </c>
      <c r="AE127" s="39">
        <v>9.8679285494962937E-2</v>
      </c>
      <c r="AF127" s="39">
        <v>0.11774080373049514</v>
      </c>
      <c r="AG127" s="39">
        <v>0.14048436603050402</v>
      </c>
      <c r="AH127" s="39">
        <v>0.16762121943865241</v>
      </c>
      <c r="AI127" s="39">
        <v>0.2</v>
      </c>
    </row>
    <row r="128" spans="2:36" ht="16" thickTop="1" thickBot="1">
      <c r="E128" s="39"/>
      <c r="AI128" s="39"/>
    </row>
    <row r="129" spans="1:36" ht="16" thickTop="1" thickBot="1">
      <c r="C129" s="13" t="s">
        <v>11</v>
      </c>
      <c r="D129" s="44" t="s">
        <v>32</v>
      </c>
      <c r="E129" s="39">
        <v>1E-3</v>
      </c>
      <c r="F129" s="39">
        <v>1.2210553000675682E-3</v>
      </c>
      <c r="G129" s="39">
        <v>1.490976045823099E-3</v>
      </c>
      <c r="H129" s="39">
        <v>1.8205642030260803E-3</v>
      </c>
      <c r="I129" s="39">
        <v>2.2230095692182834E-3</v>
      </c>
      <c r="J129" s="39">
        <v>2.7144176165949064E-3</v>
      </c>
      <c r="K129" s="39">
        <v>3.3144540173399867E-3</v>
      </c>
      <c r="L129" s="39">
        <v>4.0471316447032342E-3</v>
      </c>
      <c r="M129" s="39">
        <v>4.9417715448360584E-3</v>
      </c>
      <c r="N129" s="39">
        <v>6.0341763365451629E-3</v>
      </c>
      <c r="O129" s="39">
        <v>7.3680629972807726E-3</v>
      </c>
      <c r="P129" s="39">
        <v>8.9968123740614189E-3</v>
      </c>
      <c r="Q129" s="39">
        <v>1.0985605433061176E-2</v>
      </c>
      <c r="R129" s="39">
        <v>1.3414031738490421E-2</v>
      </c>
      <c r="S129" s="39">
        <v>1.6379274549558304E-2</v>
      </c>
      <c r="T129" s="39">
        <v>1.9999999999999997E-2</v>
      </c>
      <c r="U129" s="39">
        <v>2.4421106001351358E-2</v>
      </c>
      <c r="V129" s="39">
        <v>2.9819520916461971E-2</v>
      </c>
      <c r="W129" s="39">
        <v>3.6411284060521597E-2</v>
      </c>
      <c r="X129" s="39">
        <v>4.446019138436566E-2</v>
      </c>
      <c r="Y129" s="39">
        <v>5.4288352331898118E-2</v>
      </c>
      <c r="Z129" s="39">
        <v>6.6289080346799714E-2</v>
      </c>
      <c r="AA129" s="39">
        <v>8.0942632894064656E-2</v>
      </c>
      <c r="AB129" s="39">
        <v>9.883543089672113E-2</v>
      </c>
      <c r="AC129" s="39">
        <v>0.12068352673090321</v>
      </c>
      <c r="AD129" s="39">
        <v>0.14736125994561541</v>
      </c>
      <c r="AE129" s="39">
        <v>0.17993624748122833</v>
      </c>
      <c r="AF129" s="39">
        <v>0.21971210866122345</v>
      </c>
      <c r="AG129" s="39">
        <v>0.26828063476980835</v>
      </c>
      <c r="AH129" s="39">
        <v>0.32758549099116596</v>
      </c>
      <c r="AI129" s="39">
        <v>0.4</v>
      </c>
    </row>
    <row r="130" spans="1:36" ht="16" thickTop="1" thickBot="1">
      <c r="C130" s="13" t="s">
        <v>11</v>
      </c>
      <c r="D130" s="44" t="s">
        <v>29</v>
      </c>
      <c r="E130" s="39">
        <v>1E-3</v>
      </c>
      <c r="F130" s="39">
        <v>1.2210553000675682E-3</v>
      </c>
      <c r="G130" s="39">
        <v>1.490976045823099E-3</v>
      </c>
      <c r="H130" s="39">
        <v>1.8205642030260803E-3</v>
      </c>
      <c r="I130" s="39">
        <v>2.2230095692182834E-3</v>
      </c>
      <c r="J130" s="39">
        <v>2.7144176165949064E-3</v>
      </c>
      <c r="K130" s="39">
        <v>3.3144540173399867E-3</v>
      </c>
      <c r="L130" s="39">
        <v>4.0471316447032342E-3</v>
      </c>
      <c r="M130" s="39">
        <v>4.9417715448360584E-3</v>
      </c>
      <c r="N130" s="39">
        <v>6.0341763365451629E-3</v>
      </c>
      <c r="O130" s="39">
        <v>7.3680629972807726E-3</v>
      </c>
      <c r="P130" s="39">
        <v>8.9968123740614189E-3</v>
      </c>
      <c r="Q130" s="39">
        <v>1.0985605433061176E-2</v>
      </c>
      <c r="R130" s="39">
        <v>1.3414031738490421E-2</v>
      </c>
      <c r="S130" s="39">
        <v>1.6379274549558304E-2</v>
      </c>
      <c r="T130" s="39">
        <v>1.9999999999999997E-2</v>
      </c>
      <c r="U130" s="39">
        <v>2.4421106001351358E-2</v>
      </c>
      <c r="V130" s="39">
        <v>2.9819520916461971E-2</v>
      </c>
      <c r="W130" s="39">
        <v>3.6411284060521597E-2</v>
      </c>
      <c r="X130" s="39">
        <v>4.446019138436566E-2</v>
      </c>
      <c r="Y130" s="39">
        <v>5.4288352331898118E-2</v>
      </c>
      <c r="Z130" s="39">
        <v>6.6289080346799714E-2</v>
      </c>
      <c r="AA130" s="39">
        <v>8.0942632894064656E-2</v>
      </c>
      <c r="AB130" s="39">
        <v>9.883543089672113E-2</v>
      </c>
      <c r="AC130" s="39">
        <v>0.12068352673090321</v>
      </c>
      <c r="AD130" s="39">
        <v>0.14736125994561541</v>
      </c>
      <c r="AE130" s="39">
        <v>0.17993624748122833</v>
      </c>
      <c r="AF130" s="39">
        <v>0.21971210866122345</v>
      </c>
      <c r="AG130" s="39">
        <v>0.26828063476980835</v>
      </c>
      <c r="AH130" s="39">
        <v>0.32758549099116596</v>
      </c>
      <c r="AI130" s="39">
        <v>0.4</v>
      </c>
    </row>
    <row r="131" spans="1:36" ht="14.25" customHeight="1" thickTop="1"/>
    <row r="133" spans="1:36" ht="14">
      <c r="B133" s="6" t="s">
        <v>33</v>
      </c>
      <c r="E133" s="1">
        <v>2020</v>
      </c>
      <c r="F133" s="1">
        <v>2021</v>
      </c>
      <c r="G133" s="1">
        <v>2022</v>
      </c>
      <c r="H133" s="1">
        <v>2023</v>
      </c>
      <c r="I133" s="1">
        <v>2024</v>
      </c>
      <c r="J133" s="1">
        <v>2025</v>
      </c>
      <c r="K133" s="1">
        <v>2026</v>
      </c>
      <c r="L133" s="1">
        <v>2027</v>
      </c>
      <c r="M133" s="1">
        <v>2028</v>
      </c>
      <c r="N133" s="1">
        <v>2029</v>
      </c>
      <c r="O133" s="1">
        <v>2030</v>
      </c>
      <c r="P133" s="1">
        <v>2031</v>
      </c>
      <c r="Q133" s="1">
        <v>2032</v>
      </c>
      <c r="R133" s="1">
        <v>2033</v>
      </c>
      <c r="S133" s="1">
        <v>2034</v>
      </c>
      <c r="T133" s="1">
        <v>2035</v>
      </c>
      <c r="U133" s="1">
        <v>2036</v>
      </c>
      <c r="V133" s="1">
        <v>2037</v>
      </c>
      <c r="W133" s="1">
        <v>2038</v>
      </c>
      <c r="X133" s="1">
        <v>2039</v>
      </c>
      <c r="Y133" s="1">
        <v>2040</v>
      </c>
      <c r="Z133" s="1">
        <v>2041</v>
      </c>
      <c r="AA133" s="1">
        <v>2042</v>
      </c>
      <c r="AB133" s="1">
        <v>2043</v>
      </c>
      <c r="AC133" s="1">
        <v>2044</v>
      </c>
      <c r="AD133" s="1">
        <v>2045</v>
      </c>
      <c r="AE133" s="1">
        <v>2046</v>
      </c>
      <c r="AF133" s="1">
        <v>2047</v>
      </c>
      <c r="AG133" s="1">
        <v>2048</v>
      </c>
      <c r="AH133" s="1">
        <v>2049</v>
      </c>
      <c r="AI133" s="1">
        <v>2050</v>
      </c>
    </row>
    <row r="134" spans="1:36" ht="15" thickBot="1">
      <c r="A134" s="11"/>
      <c r="B134" s="12" t="s">
        <v>34</v>
      </c>
    </row>
    <row r="135" spans="1:36" ht="16" thickTop="1" thickBot="1">
      <c r="C135" s="13" t="s">
        <v>5</v>
      </c>
      <c r="D135" s="45" t="s">
        <v>35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</row>
    <row r="136" spans="1:36" ht="14.25" customHeight="1" thickTop="1" thickBot="1">
      <c r="C136" s="13" t="s">
        <v>5</v>
      </c>
      <c r="D136" s="46" t="s">
        <v>10</v>
      </c>
      <c r="E136" s="47">
        <v>95829.03</v>
      </c>
      <c r="F136" s="47">
        <v>94272.540180972355</v>
      </c>
      <c r="G136" s="47">
        <v>92819.053214909771</v>
      </c>
      <c r="H136" s="47">
        <v>91361.408206986249</v>
      </c>
      <c r="I136" s="47">
        <v>89899.030257803359</v>
      </c>
      <c r="J136" s="47">
        <v>88431.123560504129</v>
      </c>
      <c r="K136" s="47">
        <v>86956.967379454698</v>
      </c>
      <c r="L136" s="47">
        <v>85475.848006231565</v>
      </c>
      <c r="M136" s="47">
        <v>83986.979080068733</v>
      </c>
      <c r="N136" s="47">
        <v>82489.544009143792</v>
      </c>
      <c r="O136" s="47">
        <v>80982.711165053784</v>
      </c>
      <c r="P136" s="47">
        <v>79465.598066373263</v>
      </c>
      <c r="Q136" s="47">
        <v>77937.311527277736</v>
      </c>
      <c r="R136" s="47">
        <v>76396.887225903251</v>
      </c>
      <c r="S136" s="47">
        <v>74843.362005059418</v>
      </c>
      <c r="T136" s="47">
        <v>73275.697402980586</v>
      </c>
      <c r="U136" s="47">
        <v>72120.654370552104</v>
      </c>
      <c r="V136" s="47">
        <v>70932.697940172817</v>
      </c>
      <c r="W136" s="47">
        <v>69710.190278180409</v>
      </c>
      <c r="X136" s="47">
        <v>68451.406204204482</v>
      </c>
      <c r="Y136" s="47">
        <v>67154.527655558792</v>
      </c>
      <c r="Z136" s="47">
        <v>65817.637736642719</v>
      </c>
      <c r="AA136" s="47">
        <v>64438.714318161372</v>
      </c>
      <c r="AB136" s="47">
        <v>63015.623147772305</v>
      </c>
      <c r="AC136" s="47">
        <v>61546.110430261644</v>
      </c>
      <c r="AD136" s="47">
        <v>60027.79483151756</v>
      </c>
      <c r="AE136" s="47">
        <v>58458.158856371134</v>
      </c>
      <c r="AF136" s="47">
        <v>56834.539545780273</v>
      </c>
      <c r="AG136" s="47">
        <v>55154.118433801625</v>
      </c>
      <c r="AH136" s="47">
        <v>53413.910699289059</v>
      </c>
      <c r="AI136" s="47">
        <v>49741.292999999998</v>
      </c>
    </row>
    <row r="137" spans="1:36" ht="16" thickTop="1" thickBot="1">
      <c r="C137" s="13" t="s">
        <v>5</v>
      </c>
      <c r="D137" s="45" t="s">
        <v>36</v>
      </c>
      <c r="E137" s="22">
        <v>0.10647669999999999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</row>
    <row r="138" spans="1:36" ht="16" thickTop="1" thickBot="1">
      <c r="C138" s="13" t="s">
        <v>5</v>
      </c>
      <c r="D138" s="46" t="s">
        <v>21</v>
      </c>
      <c r="E138" s="47">
        <v>110</v>
      </c>
      <c r="F138" s="47">
        <v>116.10702220356438</v>
      </c>
      <c r="G138" s="47">
        <v>126.60836228822232</v>
      </c>
      <c r="H138" s="47">
        <v>138.05945217362611</v>
      </c>
      <c r="I138" s="47">
        <v>150.54634921302869</v>
      </c>
      <c r="J138" s="47">
        <v>164.16258401691036</v>
      </c>
      <c r="K138" s="47">
        <v>179.01029572775457</v>
      </c>
      <c r="L138" s="47">
        <v>195.20093835030445</v>
      </c>
      <c r="M138" s="47">
        <v>212.855960382132</v>
      </c>
      <c r="N138" s="47">
        <v>232.10778729519654</v>
      </c>
      <c r="O138" s="47">
        <v>253.10086481535603</v>
      </c>
      <c r="P138" s="47">
        <v>275.99264965469621</v>
      </c>
      <c r="Q138" s="47">
        <v>300.95492199120787</v>
      </c>
      <c r="R138" s="47">
        <v>328.17487151311411</v>
      </c>
      <c r="S138" s="47">
        <v>357.85678291881379</v>
      </c>
      <c r="T138" s="47">
        <v>390.22327234139931</v>
      </c>
      <c r="U138" s="47">
        <v>428.05644034476381</v>
      </c>
      <c r="V138" s="47">
        <v>469.5576330473794</v>
      </c>
      <c r="W138" s="47">
        <v>515.08247504809322</v>
      </c>
      <c r="X138" s="47">
        <v>565.02106968176827</v>
      </c>
      <c r="Y138" s="47">
        <v>619.80134182301867</v>
      </c>
      <c r="Z138" s="47">
        <v>679.89270478351864</v>
      </c>
      <c r="AA138" s="47">
        <v>745.81008272460826</v>
      </c>
      <c r="AB138" s="47">
        <v>818.11832305333292</v>
      </c>
      <c r="AC138" s="47">
        <v>897.43703661183201</v>
      </c>
      <c r="AD138" s="47">
        <v>984.4459071357619</v>
      </c>
      <c r="AE138" s="47">
        <v>1079.8905154786164</v>
      </c>
      <c r="AF138" s="47">
        <v>1184.5887285098438</v>
      </c>
      <c r="AG138" s="47">
        <v>1299.4377074333652</v>
      </c>
      <c r="AH138" s="47">
        <v>1425.4215955809243</v>
      </c>
      <c r="AI138" s="47">
        <v>1715.2170000000001</v>
      </c>
    </row>
    <row r="139" spans="1:36" ht="16" thickTop="1" thickBot="1">
      <c r="C139" s="13" t="s">
        <v>5</v>
      </c>
      <c r="D139" s="46" t="s">
        <v>25</v>
      </c>
      <c r="E139" s="47">
        <v>10647.67</v>
      </c>
      <c r="F139" s="47">
        <v>11023.28579682409</v>
      </c>
      <c r="G139" s="47">
        <v>11412.152122802008</v>
      </c>
      <c r="H139" s="47">
        <v>11814.732340840123</v>
      </c>
      <c r="I139" s="47">
        <v>12231.523392983618</v>
      </c>
      <c r="J139" s="47">
        <v>12663.013855478968</v>
      </c>
      <c r="K139" s="47">
        <v>13109.722324817547</v>
      </c>
      <c r="L139" s="47">
        <v>13572.191055418143</v>
      </c>
      <c r="M139" s="47">
        <v>14050.974959549138</v>
      </c>
      <c r="N139" s="47">
        <v>14546.648203561021</v>
      </c>
      <c r="O139" s="47">
        <v>15059.807970130858</v>
      </c>
      <c r="P139" s="47">
        <v>15591.069283972036</v>
      </c>
      <c r="Q139" s="47">
        <v>16141.073550731051</v>
      </c>
      <c r="R139" s="47">
        <v>16710.477902583636</v>
      </c>
      <c r="S139" s="47">
        <v>17299.971212021777</v>
      </c>
      <c r="T139" s="47">
        <v>17910.259324678012</v>
      </c>
      <c r="U139" s="47">
        <v>18652.726559686216</v>
      </c>
      <c r="V139" s="47">
        <v>19425.972667577691</v>
      </c>
      <c r="W139" s="47">
        <v>20231.273582119342</v>
      </c>
      <c r="X139" s="47">
        <v>21069.958130729621</v>
      </c>
      <c r="Y139" s="47">
        <v>21943.410227177294</v>
      </c>
      <c r="Z139" s="47">
        <v>22853.071155178179</v>
      </c>
      <c r="AA139" s="47">
        <v>23800.441946658102</v>
      </c>
      <c r="AB139" s="47">
        <v>24787.08585860638</v>
      </c>
      <c r="AC139" s="47">
        <v>25814.630952606924</v>
      </c>
      <c r="AD139" s="47">
        <v>26884.772781303411</v>
      </c>
      <c r="AE139" s="47">
        <v>27999.277186231506</v>
      </c>
      <c r="AF139" s="47">
        <v>29159.983211634815</v>
      </c>
      <c r="AG139" s="47">
        <v>30368.806139072654</v>
      </c>
      <c r="AH139" s="47">
        <v>31627.740647827053</v>
      </c>
      <c r="AI139" s="47">
        <v>34304.340000000004</v>
      </c>
    </row>
    <row r="140" spans="1:36" ht="16" thickTop="1" thickBot="1">
      <c r="C140" s="13" t="s">
        <v>5</v>
      </c>
      <c r="D140" s="48" t="s">
        <v>37</v>
      </c>
      <c r="E140" s="22">
        <v>106476.7</v>
      </c>
      <c r="F140" s="22">
        <v>105411.933</v>
      </c>
      <c r="G140" s="22">
        <v>104357.8137</v>
      </c>
      <c r="H140" s="22">
        <v>103314.2</v>
      </c>
      <c r="I140" s="22">
        <v>102281.1</v>
      </c>
      <c r="J140" s="22">
        <v>101258.3</v>
      </c>
      <c r="K140" s="22">
        <v>100245.7</v>
      </c>
      <c r="L140" s="22">
        <v>99243.24</v>
      </c>
      <c r="M140" s="22">
        <v>98250.81</v>
      </c>
      <c r="N140" s="22">
        <v>97268.3</v>
      </c>
      <c r="O140" s="22">
        <v>96295.62</v>
      </c>
      <c r="P140" s="22">
        <v>95332.66</v>
      </c>
      <c r="Q140" s="22">
        <v>94379.34</v>
      </c>
      <c r="R140" s="22">
        <v>93435.54</v>
      </c>
      <c r="S140" s="22">
        <v>92501.19</v>
      </c>
      <c r="T140" s="22">
        <v>91576.18</v>
      </c>
      <c r="U140" s="22">
        <v>91201.437370583095</v>
      </c>
      <c r="V140" s="22">
        <v>90828.228240797893</v>
      </c>
      <c r="W140" s="22">
        <v>90456.546335347855</v>
      </c>
      <c r="X140" s="22">
        <v>90086.385404615867</v>
      </c>
      <c r="Y140" s="22">
        <v>89717.739224559104</v>
      </c>
      <c r="Z140" s="22">
        <v>89350.601596604422</v>
      </c>
      <c r="AA140" s="22">
        <v>88984.96634754409</v>
      </c>
      <c r="AB140" s="22">
        <v>88620.827329432024</v>
      </c>
      <c r="AC140" s="22">
        <v>88258.178419480406</v>
      </c>
      <c r="AD140" s="22">
        <v>87897.01351995673</v>
      </c>
      <c r="AE140" s="22">
        <v>87537.326558081259</v>
      </c>
      <c r="AF140" s="22">
        <v>87179.111485924921</v>
      </c>
      <c r="AG140" s="22">
        <v>86822.362280307643</v>
      </c>
      <c r="AH140" s="22">
        <v>86467.072942697036</v>
      </c>
      <c r="AI140" s="22">
        <v>85760.85</v>
      </c>
    </row>
    <row r="141" spans="1:36" s="49" customFormat="1" ht="15" thickTop="1">
      <c r="B141" s="5"/>
      <c r="C141" s="50" t="s">
        <v>38</v>
      </c>
      <c r="D141" s="51" t="str">
        <f>D138</f>
        <v>DRI-EAF</v>
      </c>
      <c r="E141" s="52"/>
      <c r="F141" s="53">
        <v>5.5518383668767157E-2</v>
      </c>
      <c r="G141" s="53">
        <v>9.0445348484146759E-2</v>
      </c>
      <c r="H141" s="53">
        <v>9.0444972815741265E-2</v>
      </c>
      <c r="I141" s="53">
        <v>9.0445795943756346E-2</v>
      </c>
      <c r="J141" s="53">
        <v>9.0445466629112348E-2</v>
      </c>
      <c r="K141" s="53">
        <v>9.0445163249347704E-2</v>
      </c>
      <c r="L141" s="53">
        <v>9.0445315207865029E-2</v>
      </c>
      <c r="M141" s="53">
        <v>9.0445374807287759E-2</v>
      </c>
      <c r="N141" s="53">
        <v>9.0445326870351561E-2</v>
      </c>
      <c r="O141" s="53">
        <v>9.0445382142479991E-2</v>
      </c>
      <c r="P141" s="53">
        <v>9.04453047050644E-2</v>
      </c>
      <c r="Q141" s="53">
        <v>9.0445424426131682E-2</v>
      </c>
      <c r="R141" s="53">
        <v>9.0445271144963924E-2</v>
      </c>
      <c r="S141" s="53">
        <v>9.0445411828289801E-2</v>
      </c>
      <c r="T141" s="53">
        <v>9.0445370794965285E-2</v>
      </c>
      <c r="U141" s="53">
        <v>9.6952618372450505E-2</v>
      </c>
      <c r="V141" s="53">
        <v>9.6952618372450727E-2</v>
      </c>
      <c r="W141" s="53">
        <v>9.6952618372450727E-2</v>
      </c>
      <c r="X141" s="53">
        <v>9.6952618372450505E-2</v>
      </c>
      <c r="Y141" s="53">
        <v>9.6952618372450727E-2</v>
      </c>
      <c r="Z141" s="53">
        <v>9.6952618372450727E-2</v>
      </c>
      <c r="AA141" s="53">
        <v>9.6952618372450505E-2</v>
      </c>
      <c r="AB141" s="53">
        <v>9.6952618372450505E-2</v>
      </c>
      <c r="AC141" s="53">
        <v>9.6952618372450727E-2</v>
      </c>
      <c r="AD141" s="53">
        <v>9.6952618372450505E-2</v>
      </c>
      <c r="AE141" s="53">
        <v>9.6952618372450727E-2</v>
      </c>
      <c r="AF141" s="53">
        <v>9.6952618372450727E-2</v>
      </c>
      <c r="AG141" s="53">
        <v>9.6952618372450505E-2</v>
      </c>
      <c r="AH141" s="53">
        <v>9.6952618372450505E-2</v>
      </c>
      <c r="AI141" s="53">
        <v>0.20330504695417573</v>
      </c>
      <c r="AJ141" s="5"/>
    </row>
    <row r="142" spans="1:36" s="49" customFormat="1" ht="14">
      <c r="B142" s="5"/>
      <c r="C142" s="50" t="s">
        <v>38</v>
      </c>
      <c r="D142" s="51" t="str">
        <f>D139</f>
        <v>Sracp-EAF</v>
      </c>
      <c r="E142" s="52"/>
      <c r="F142" s="53">
        <v>3.5276806740262456E-2</v>
      </c>
      <c r="G142" s="53">
        <v>3.5276807037875724E-2</v>
      </c>
      <c r="H142" s="53">
        <v>3.5276450375537838E-2</v>
      </c>
      <c r="I142" s="53">
        <v>3.5277231859309088E-2</v>
      </c>
      <c r="J142" s="53">
        <v>3.5276919205572188E-2</v>
      </c>
      <c r="K142" s="53">
        <v>3.5276631174599782E-2</v>
      </c>
      <c r="L142" s="53">
        <v>3.5276775445129971E-2</v>
      </c>
      <c r="M142" s="53">
        <v>3.5276832029258687E-2</v>
      </c>
      <c r="N142" s="53">
        <v>3.5276786517580483E-2</v>
      </c>
      <c r="O142" s="53">
        <v>3.5276838993343995E-2</v>
      </c>
      <c r="P142" s="53">
        <v>3.5276765473694294E-2</v>
      </c>
      <c r="Q142" s="53">
        <v>3.5276879137753125E-2</v>
      </c>
      <c r="R142" s="53">
        <v>3.5276733611488753E-2</v>
      </c>
      <c r="S142" s="53">
        <v>3.5276867177269633E-2</v>
      </c>
      <c r="T142" s="53">
        <v>3.5276828219930501E-2</v>
      </c>
      <c r="U142" s="53">
        <v>4.1454856769448378E-2</v>
      </c>
      <c r="V142" s="53">
        <v>4.1454856769448156E-2</v>
      </c>
      <c r="W142" s="53">
        <v>4.1454856769448378E-2</v>
      </c>
      <c r="X142" s="53">
        <v>4.1454856769448156E-2</v>
      </c>
      <c r="Y142" s="53">
        <v>4.1454856769448378E-2</v>
      </c>
      <c r="Z142" s="53">
        <v>4.1454856769448378E-2</v>
      </c>
      <c r="AA142" s="53">
        <v>4.1454856769448378E-2</v>
      </c>
      <c r="AB142" s="53">
        <v>4.1454856769448156E-2</v>
      </c>
      <c r="AC142" s="53">
        <v>4.1454856769448156E-2</v>
      </c>
      <c r="AD142" s="53">
        <v>4.1454856769448378E-2</v>
      </c>
      <c r="AE142" s="53">
        <v>4.1454856769448378E-2</v>
      </c>
      <c r="AF142" s="53">
        <v>4.1454856769448378E-2</v>
      </c>
      <c r="AG142" s="53">
        <v>4.1454856769448378E-2</v>
      </c>
      <c r="AH142" s="53">
        <v>4.1454856769448378E-2</v>
      </c>
      <c r="AI142" s="53">
        <v>8.4628218688673318E-2</v>
      </c>
      <c r="AJ142" s="5"/>
    </row>
    <row r="143" spans="1:36" ht="15" thickBot="1">
      <c r="J143" s="27">
        <v>8.3368736929290588E-2</v>
      </c>
    </row>
    <row r="144" spans="1:36" ht="16" thickTop="1" thickBot="1">
      <c r="C144" s="13" t="s">
        <v>9</v>
      </c>
      <c r="D144" s="45" t="s">
        <v>35</v>
      </c>
      <c r="E144" s="22">
        <v>95.829030000000003</v>
      </c>
      <c r="F144" s="22">
        <v>110.58182130732861</v>
      </c>
      <c r="G144" s="22">
        <v>127.60579131027364</v>
      </c>
      <c r="H144" s="22">
        <v>147.25058588668745</v>
      </c>
      <c r="I144" s="22">
        <v>169.91967857674351</v>
      </c>
      <c r="J144" s="22">
        <v>196.07865730219916</v>
      </c>
      <c r="K144" s="22">
        <v>226.26478681849031</v>
      </c>
      <c r="L144" s="22">
        <v>261.09804329755917</v>
      </c>
      <c r="M144" s="22">
        <v>301.29384767459129</v>
      </c>
      <c r="N144" s="22">
        <v>347.67775928180771</v>
      </c>
      <c r="O144" s="22">
        <v>401.20243155370844</v>
      </c>
      <c r="P144" s="22">
        <v>462.96717804759078</v>
      </c>
      <c r="Q144" s="22">
        <v>534.24055063498895</v>
      </c>
      <c r="R144" s="22">
        <v>616.48639358498338</v>
      </c>
      <c r="S144" s="22">
        <v>711.39390864974928</v>
      </c>
      <c r="T144" s="22">
        <v>820.9123486424586</v>
      </c>
      <c r="U144" s="22">
        <v>947.29105205969222</v>
      </c>
      <c r="V144" s="22">
        <v>1093.1256409972655</v>
      </c>
      <c r="W144" s="22">
        <v>1261.4113311928404</v>
      </c>
      <c r="X144" s="22">
        <v>1455.6044491007181</v>
      </c>
      <c r="Y144" s="22">
        <v>1679.6934194638943</v>
      </c>
      <c r="Z144" s="22">
        <v>1938.2806813577479</v>
      </c>
      <c r="AA144" s="22">
        <v>2236.6772151335517</v>
      </c>
      <c r="AB144" s="22">
        <v>2581.0116216982665</v>
      </c>
      <c r="AC144" s="22">
        <v>2978.3559944494491</v>
      </c>
      <c r="AD144" s="22">
        <v>3436.8711690791401</v>
      </c>
      <c r="AE144" s="22">
        <v>3965.9743344518774</v>
      </c>
      <c r="AF144" s="22">
        <v>4576.5324470237147</v>
      </c>
      <c r="AG144" s="22">
        <v>5281.0854212337099</v>
      </c>
      <c r="AH144" s="22">
        <v>6094.1036798515461</v>
      </c>
      <c r="AI144" s="22">
        <v>6876.7912318819699</v>
      </c>
    </row>
    <row r="145" spans="2:36" ht="16" thickTop="1" thickBot="1">
      <c r="C145" s="13" t="s">
        <v>9</v>
      </c>
      <c r="D145" s="46" t="s">
        <v>10</v>
      </c>
      <c r="E145" s="47">
        <v>95733.200970000005</v>
      </c>
      <c r="F145" s="47">
        <v>92679.298676407678</v>
      </c>
      <c r="G145" s="47">
        <v>89633.093470222768</v>
      </c>
      <c r="H145" s="47">
        <v>86687.011660424221</v>
      </c>
      <c r="I145" s="47">
        <v>83837.762367433883</v>
      </c>
      <c r="J145" s="47">
        <v>81082.162877085328</v>
      </c>
      <c r="K145" s="47">
        <v>78417.135085417511</v>
      </c>
      <c r="L145" s="47">
        <v>75839.702060321579</v>
      </c>
      <c r="M145" s="47">
        <v>73346.984716200459</v>
      </c>
      <c r="N145" s="47">
        <v>70936.198597926443</v>
      </c>
      <c r="O145" s="47">
        <v>68604.650770504479</v>
      </c>
      <c r="P145" s="47">
        <v>66349.736810966642</v>
      </c>
      <c r="Q145" s="47">
        <v>64168.937899137869</v>
      </c>
      <c r="R145" s="47">
        <v>62059.818004022942</v>
      </c>
      <c r="S145" s="47">
        <v>60020.021162672158</v>
      </c>
      <c r="T145" s="47">
        <v>58047.268848485714</v>
      </c>
      <c r="U145" s="47">
        <v>56139.357426017392</v>
      </c>
      <c r="V145" s="47">
        <v>54294.155689434308</v>
      </c>
      <c r="W145" s="47">
        <v>52509.602481883223</v>
      </c>
      <c r="X145" s="47">
        <v>50783.704393103988</v>
      </c>
      <c r="Y145" s="47">
        <v>49114.533532718444</v>
      </c>
      <c r="Z145" s="47">
        <v>47500.225376707385</v>
      </c>
      <c r="AA145" s="47">
        <v>45938.976684670008</v>
      </c>
      <c r="AB145" s="47">
        <v>44429.043485539405</v>
      </c>
      <c r="AC145" s="47">
        <v>42968.739129503985</v>
      </c>
      <c r="AD145" s="47">
        <v>41556.432403958868</v>
      </c>
      <c r="AE145" s="47">
        <v>40190.545711382554</v>
      </c>
      <c r="AF145" s="47">
        <v>38869.553307103699</v>
      </c>
      <c r="AG145" s="47">
        <v>37591.979594989265</v>
      </c>
      <c r="AH145" s="47">
        <v>36356.397479150444</v>
      </c>
      <c r="AI145" s="47">
        <v>34383.956159409849</v>
      </c>
    </row>
    <row r="146" spans="2:36" ht="16" thickTop="1" thickBot="1">
      <c r="C146" s="13" t="s">
        <v>9</v>
      </c>
      <c r="D146" s="45" t="s">
        <v>36</v>
      </c>
      <c r="E146" s="22">
        <v>0.10647669999999999</v>
      </c>
      <c r="F146" s="22">
        <v>0.14254676251751047</v>
      </c>
      <c r="G146" s="22">
        <v>0.19083592470675304</v>
      </c>
      <c r="H146" s="22">
        <v>0.25548353056568274</v>
      </c>
      <c r="I146" s="22">
        <v>0.34203116887245294</v>
      </c>
      <c r="J146" s="22">
        <v>0.45789769783293505</v>
      </c>
      <c r="K146" s="22">
        <v>0.61301518914754261</v>
      </c>
      <c r="L146" s="22">
        <v>0.82068030458345853</v>
      </c>
      <c r="M146" s="22">
        <v>1.0986940849994076</v>
      </c>
      <c r="N146" s="22">
        <v>1.4708878544677289</v>
      </c>
      <c r="O146" s="22">
        <v>1.9691660399007658</v>
      </c>
      <c r="P146" s="22">
        <v>2.636241016553678</v>
      </c>
      <c r="Q146" s="22">
        <v>3.5292944101911274</v>
      </c>
      <c r="R146" s="22">
        <v>4.7248787025132426</v>
      </c>
      <c r="S146" s="22">
        <v>6.3254793051550093</v>
      </c>
      <c r="T146" s="22">
        <v>8.4682996028366606</v>
      </c>
      <c r="U146" s="22">
        <v>11.337022019020928</v>
      </c>
      <c r="V146" s="22">
        <v>15.177553261898268</v>
      </c>
      <c r="W146" s="22">
        <v>20.319103432212668</v>
      </c>
      <c r="X146" s="22">
        <v>27.202405892747912</v>
      </c>
      <c r="Y146" s="22">
        <v>36.417496904942247</v>
      </c>
      <c r="Z146" s="22">
        <v>48.754293500746869</v>
      </c>
      <c r="AA146" s="22">
        <v>65.270305121777525</v>
      </c>
      <c r="AB146" s="22">
        <v>87.38128326328173</v>
      </c>
      <c r="AC146" s="22">
        <v>116.98257960479928</v>
      </c>
      <c r="AD146" s="22">
        <v>156.61161543897481</v>
      </c>
      <c r="AE146" s="22">
        <v>209.66538926791699</v>
      </c>
      <c r="AF146" s="22">
        <v>280.69166730482027</v>
      </c>
      <c r="AG146" s="22">
        <v>375.77881771264771</v>
      </c>
      <c r="AH146" s="22">
        <v>503.07770514671898</v>
      </c>
      <c r="AI146" s="22">
        <v>764.08791465355228</v>
      </c>
    </row>
    <row r="147" spans="2:36" ht="16" thickTop="1" thickBot="1">
      <c r="C147" s="13" t="s">
        <v>9</v>
      </c>
      <c r="D147" s="46" t="s">
        <v>21</v>
      </c>
      <c r="E147" s="47">
        <v>110</v>
      </c>
      <c r="F147" s="47">
        <v>119.46931080108521</v>
      </c>
      <c r="G147" s="47">
        <v>134.0473194913657</v>
      </c>
      <c r="H147" s="47">
        <v>150.40418114353974</v>
      </c>
      <c r="I147" s="47">
        <v>168.75695680670296</v>
      </c>
      <c r="J147" s="47">
        <v>189.34919397938998</v>
      </c>
      <c r="K147" s="47">
        <v>212.45415856669783</v>
      </c>
      <c r="L147" s="47">
        <v>238.3784612106486</v>
      </c>
      <c r="M147" s="47">
        <v>267.46612611641245</v>
      </c>
      <c r="N147" s="47">
        <v>300.10315636908297</v>
      </c>
      <c r="O147" s="47">
        <v>336.72265632429122</v>
      </c>
      <c r="P147" s="47">
        <v>377.81057904850309</v>
      </c>
      <c r="Q147" s="47">
        <v>423.9121750794643</v>
      </c>
      <c r="R147" s="47">
        <v>475.63922808400872</v>
      </c>
      <c r="S147" s="47">
        <v>533.67817343284219</v>
      </c>
      <c r="T147" s="47">
        <v>598.79920742851425</v>
      </c>
      <c r="U147" s="47">
        <v>671.86650806909563</v>
      </c>
      <c r="V147" s="47">
        <v>753.84970298052644</v>
      </c>
      <c r="W147" s="47">
        <v>845.83673670095232</v>
      </c>
      <c r="X147" s="47">
        <v>949.04830807023291</v>
      </c>
      <c r="Y147" s="47">
        <v>1064.8540693136315</v>
      </c>
      <c r="Z147" s="47">
        <v>1194.790801786969</v>
      </c>
      <c r="AA147" s="47">
        <v>1340.5828095814879</v>
      </c>
      <c r="AB147" s="47">
        <v>1504.1648016184088</v>
      </c>
      <c r="AC147" s="47">
        <v>1687.707565886268</v>
      </c>
      <c r="AD147" s="47">
        <v>1893.6467765267853</v>
      </c>
      <c r="AE147" s="47">
        <v>2124.7153160489729</v>
      </c>
      <c r="AF147" s="47">
        <v>2383.9795415981221</v>
      </c>
      <c r="AG147" s="47">
        <v>2674.8799765452413</v>
      </c>
      <c r="AH147" s="47">
        <v>3001.2769673880107</v>
      </c>
      <c r="AI147" s="47">
        <v>3820.4395732677608</v>
      </c>
    </row>
    <row r="148" spans="2:36" ht="16" thickTop="1" thickBot="1">
      <c r="C148" s="13" t="s">
        <v>9</v>
      </c>
      <c r="D148" s="46" t="s">
        <v>25</v>
      </c>
      <c r="E148" s="47">
        <v>10647.67</v>
      </c>
      <c r="F148" s="47">
        <v>12506.68831279123</v>
      </c>
      <c r="G148" s="47">
        <v>14379.955490985849</v>
      </c>
      <c r="H148" s="47">
        <v>16164.062380044516</v>
      </c>
      <c r="I148" s="47">
        <v>17861.94263693396</v>
      </c>
      <c r="J148" s="47">
        <v>19476.396808536909</v>
      </c>
      <c r="K148" s="47">
        <v>21010.092637941805</v>
      </c>
      <c r="L148" s="47">
        <v>22465.564859692597</v>
      </c>
      <c r="M148" s="47">
        <v>23845.21443971448</v>
      </c>
      <c r="N148" s="47">
        <v>25151.30720963348</v>
      </c>
      <c r="O148" s="47">
        <v>26385.971838497015</v>
      </c>
      <c r="P148" s="47">
        <v>27551.197077392058</v>
      </c>
      <c r="Q148" s="47">
        <v>28648.828204048394</v>
      </c>
      <c r="R148" s="47">
        <v>29680.562585097843</v>
      </c>
      <c r="S148" s="47">
        <v>30647.944263110545</v>
      </c>
      <c r="T148" s="47">
        <v>31552.357463709941</v>
      </c>
      <c r="U148" s="47">
        <v>32395.018904821813</v>
      </c>
      <c r="V148" s="47">
        <v>33176.968775265472</v>
      </c>
      <c r="W148" s="47">
        <v>33899.06023325165</v>
      </c>
      <c r="X148" s="47">
        <v>34561.947256691426</v>
      </c>
      <c r="Y148" s="47">
        <v>35166.070656297044</v>
      </c>
      <c r="Z148" s="47">
        <v>35711.642038993137</v>
      </c>
      <c r="AA148" s="47">
        <v>36198.625482843629</v>
      </c>
      <c r="AB148" s="47">
        <v>36626.716655189259</v>
      </c>
      <c r="AC148" s="47">
        <v>36995.319072591003</v>
      </c>
      <c r="AD148" s="47">
        <v>37303.517164047815</v>
      </c>
      <c r="AE148" s="47">
        <v>37550.045757312066</v>
      </c>
      <c r="AF148" s="47">
        <v>37733.255561409584</v>
      </c>
      <c r="AG148" s="47">
        <v>37851.074166065679</v>
      </c>
      <c r="AH148" s="47">
        <v>37900.962019948114</v>
      </c>
      <c r="AI148" s="47">
        <v>38204.3957326776</v>
      </c>
    </row>
    <row r="149" spans="2:36" ht="16" thickTop="1" thickBot="1">
      <c r="C149" s="13" t="s">
        <v>9</v>
      </c>
      <c r="D149" s="48" t="s">
        <v>37</v>
      </c>
      <c r="E149" s="22">
        <v>106476.7</v>
      </c>
      <c r="F149" s="22">
        <v>105305.45629999999</v>
      </c>
      <c r="G149" s="22">
        <v>104147.09628069999</v>
      </c>
      <c r="H149" s="22">
        <v>103001.47822161228</v>
      </c>
      <c r="I149" s="22">
        <v>101868.46196117454</v>
      </c>
      <c r="J149" s="22">
        <v>100747.90887960163</v>
      </c>
      <c r="K149" s="22">
        <v>99639.681881926008</v>
      </c>
      <c r="L149" s="22">
        <v>98543.645381224822</v>
      </c>
      <c r="M149" s="22">
        <v>97459.665282031347</v>
      </c>
      <c r="N149" s="22">
        <v>96387.608963929</v>
      </c>
      <c r="O149" s="22">
        <v>95327.345265325785</v>
      </c>
      <c r="P149" s="22">
        <v>94278.744467407203</v>
      </c>
      <c r="Q149" s="22">
        <v>93241.678278265725</v>
      </c>
      <c r="R149" s="22">
        <v>92216.019817204797</v>
      </c>
      <c r="S149" s="22">
        <v>91201.643599215546</v>
      </c>
      <c r="T149" s="22">
        <v>90198.425519624172</v>
      </c>
      <c r="U149" s="22">
        <v>89206.242838908307</v>
      </c>
      <c r="V149" s="22">
        <v>88224.97416768031</v>
      </c>
      <c r="W149" s="22">
        <v>87254.499451835829</v>
      </c>
      <c r="X149" s="22">
        <v>86294.69995786564</v>
      </c>
      <c r="Y149" s="22">
        <v>85345.458258329119</v>
      </c>
      <c r="Z149" s="22">
        <v>84406.658217487493</v>
      </c>
      <c r="AA149" s="22">
        <v>83478.184977095123</v>
      </c>
      <c r="AB149" s="22">
        <v>82559.924942347076</v>
      </c>
      <c r="AC149" s="22">
        <v>81651.765767981255</v>
      </c>
      <c r="AD149" s="22">
        <v>80753.596344533464</v>
      </c>
      <c r="AE149" s="22">
        <v>79865.306784743589</v>
      </c>
      <c r="AF149" s="22">
        <v>78986.788410111403</v>
      </c>
      <c r="AG149" s="22">
        <v>78117.933737600179</v>
      </c>
      <c r="AH149" s="22">
        <v>77258.636466486569</v>
      </c>
      <c r="AI149" s="22">
        <v>76408.791465355214</v>
      </c>
    </row>
    <row r="150" spans="2:36" s="49" customFormat="1" ht="15" thickTop="1">
      <c r="B150" s="5"/>
      <c r="C150" s="50" t="s">
        <v>38</v>
      </c>
      <c r="D150" s="51" t="str">
        <f>D141</f>
        <v>DRI-EAF</v>
      </c>
      <c r="E150" s="52"/>
      <c r="F150" s="53">
        <v>8.6084643646229253E-2</v>
      </c>
      <c r="G150" s="53">
        <v>0.12202304167094979</v>
      </c>
      <c r="H150" s="53">
        <v>0.12202304167094979</v>
      </c>
      <c r="I150" s="53">
        <v>0.12202304167094957</v>
      </c>
      <c r="J150" s="53">
        <v>0.12202304167095002</v>
      </c>
      <c r="K150" s="53">
        <v>0.12202304167094979</v>
      </c>
      <c r="L150" s="53">
        <v>0.12202304167094979</v>
      </c>
      <c r="M150" s="53">
        <v>0.12202304167094979</v>
      </c>
      <c r="N150" s="53">
        <v>0.12202304167094979</v>
      </c>
      <c r="O150" s="53">
        <v>0.12202304167095002</v>
      </c>
      <c r="P150" s="53">
        <v>0.12202304167094979</v>
      </c>
      <c r="Q150" s="53">
        <v>0.12202304167095002</v>
      </c>
      <c r="R150" s="53">
        <v>0.12202304167094979</v>
      </c>
      <c r="S150" s="53">
        <v>0.12202304167095002</v>
      </c>
      <c r="T150" s="53">
        <v>0.12202304167094979</v>
      </c>
      <c r="U150" s="53">
        <v>0.12202304167095002</v>
      </c>
      <c r="V150" s="53">
        <v>0.12202304167094979</v>
      </c>
      <c r="W150" s="53">
        <v>0.12202304167094979</v>
      </c>
      <c r="X150" s="53">
        <v>0.12202304167095002</v>
      </c>
      <c r="Y150" s="53">
        <v>0.12202304167095002</v>
      </c>
      <c r="Z150" s="53">
        <v>0.12202304167094957</v>
      </c>
      <c r="AA150" s="53">
        <v>0.12202304167094979</v>
      </c>
      <c r="AB150" s="53">
        <v>0.12202304167094979</v>
      </c>
      <c r="AC150" s="53">
        <v>0.12202304167094979</v>
      </c>
      <c r="AD150" s="53">
        <v>0.12202304167094979</v>
      </c>
      <c r="AE150" s="53">
        <v>0.12202304167094979</v>
      </c>
      <c r="AF150" s="53">
        <v>0.12202304167094979</v>
      </c>
      <c r="AG150" s="53">
        <v>0.12202304167094979</v>
      </c>
      <c r="AH150" s="53">
        <v>0.12202304167094979</v>
      </c>
      <c r="AI150" s="53">
        <v>0.27293802430792025</v>
      </c>
      <c r="AJ150" s="5"/>
    </row>
    <row r="151" spans="2:36" s="49" customFormat="1" ht="14">
      <c r="B151" s="5"/>
      <c r="C151" s="50" t="s">
        <v>38</v>
      </c>
      <c r="D151" s="51" t="str">
        <f>D142</f>
        <v>Sracp-EAF</v>
      </c>
      <c r="E151" s="52"/>
      <c r="F151" s="53">
        <v>0.17459390766160388</v>
      </c>
      <c r="G151" s="53">
        <v>0.14978123155741652</v>
      </c>
      <c r="H151" s="53">
        <v>0.12406901329959208</v>
      </c>
      <c r="I151" s="53">
        <v>0.10504044199839124</v>
      </c>
      <c r="J151" s="53">
        <v>9.0385139198950748E-2</v>
      </c>
      <c r="K151" s="53">
        <v>7.8746384379098533E-2</v>
      </c>
      <c r="L151" s="53">
        <v>6.9274907390097784E-2</v>
      </c>
      <c r="M151" s="53">
        <v>6.1411746761695252E-2</v>
      </c>
      <c r="N151" s="53">
        <v>5.4773790071004136E-2</v>
      </c>
      <c r="O151" s="53">
        <v>4.9089481456082495E-2</v>
      </c>
      <c r="P151" s="53">
        <v>4.4160785360764621E-2</v>
      </c>
      <c r="Q151" s="53">
        <v>3.9839689127592504E-2</v>
      </c>
      <c r="R151" s="53">
        <v>3.6013144192182045E-2</v>
      </c>
      <c r="S151" s="53">
        <v>3.2593104501948078E-2</v>
      </c>
      <c r="T151" s="53">
        <v>2.950975089340635E-2</v>
      </c>
      <c r="U151" s="53">
        <v>2.6706766430402595E-2</v>
      </c>
      <c r="V151" s="53">
        <v>2.4137966171313696E-2</v>
      </c>
      <c r="W151" s="53">
        <v>2.1764841233009813E-2</v>
      </c>
      <c r="X151" s="53">
        <v>1.9554731573046658E-2</v>
      </c>
      <c r="Y151" s="53">
        <v>1.747943757678927E-2</v>
      </c>
      <c r="Z151" s="53">
        <v>1.5514141117111135E-2</v>
      </c>
      <c r="AA151" s="53">
        <v>1.3636545844594838E-2</v>
      </c>
      <c r="AB151" s="53">
        <v>1.1826172033756466E-2</v>
      </c>
      <c r="AC151" s="53">
        <v>1.0063758126938716E-2</v>
      </c>
      <c r="AD151" s="53">
        <v>8.3307320813228447E-3</v>
      </c>
      <c r="AE151" s="53">
        <v>6.608722501422637E-3</v>
      </c>
      <c r="AF151" s="53">
        <v>4.8790833779968068E-3</v>
      </c>
      <c r="AG151" s="53">
        <v>3.122407619039036E-3</v>
      </c>
      <c r="AH151" s="53">
        <v>1.3180036493432024E-3</v>
      </c>
      <c r="AI151" s="53">
        <v>8.0059633465183744E-3</v>
      </c>
      <c r="AJ151" s="5"/>
    </row>
    <row r="152" spans="2:36" ht="15" thickBot="1"/>
    <row r="153" spans="2:36" ht="16" thickTop="1" thickBot="1">
      <c r="C153" s="13" t="s">
        <v>11</v>
      </c>
      <c r="D153" s="45" t="s">
        <v>35</v>
      </c>
      <c r="E153" s="22">
        <v>95.829030000000003</v>
      </c>
      <c r="F153" s="22">
        <v>114.50504379922243</v>
      </c>
      <c r="G153" s="22">
        <v>136.90604802799345</v>
      </c>
      <c r="H153" s="22">
        <v>163.60244559496485</v>
      </c>
      <c r="I153" s="22">
        <v>195.39136470790774</v>
      </c>
      <c r="J153" s="22">
        <v>233.20942387412387</v>
      </c>
      <c r="K153" s="22">
        <v>278.15428590991183</v>
      </c>
      <c r="L153" s="22">
        <v>331.50848523930802</v>
      </c>
      <c r="M153" s="22">
        <v>394.76531218124296</v>
      </c>
      <c r="N153" s="22">
        <v>469.65626540615551</v>
      </c>
      <c r="O153" s="22">
        <v>558.17917487273257</v>
      </c>
      <c r="P153" s="22">
        <v>662.62549449291089</v>
      </c>
      <c r="Q153" s="22">
        <v>785.60438521338483</v>
      </c>
      <c r="R153" s="22">
        <v>930.05994089003821</v>
      </c>
      <c r="S153" s="22">
        <v>1099.276090702926</v>
      </c>
      <c r="T153" s="22">
        <v>1296.8611171904606</v>
      </c>
      <c r="U153" s="22">
        <v>1526.7000407693863</v>
      </c>
      <c r="V153" s="22">
        <v>1792.8578929198436</v>
      </c>
      <c r="W153" s="22">
        <v>2099.4095013809219</v>
      </c>
      <c r="X153" s="22">
        <v>2450.1609537359946</v>
      </c>
      <c r="Y153" s="22">
        <v>2848.2131371124256</v>
      </c>
      <c r="Z153" s="22">
        <v>3295.2968998666438</v>
      </c>
      <c r="AA153" s="22">
        <v>3790.7799398984839</v>
      </c>
      <c r="AB153" s="22">
        <v>4330.2039443172289</v>
      </c>
      <c r="AC153" s="22">
        <v>4903.1517545989309</v>
      </c>
      <c r="AD153" s="22">
        <v>5490.1612688484884</v>
      </c>
      <c r="AE153" s="22">
        <v>6058.2852734960916</v>
      </c>
      <c r="AF153" s="22">
        <v>6554.7299954977852</v>
      </c>
      <c r="AG153" s="22">
        <v>6897.769352824931</v>
      </c>
      <c r="AH153" s="22">
        <v>6963.7974125387382</v>
      </c>
      <c r="AI153" s="22">
        <v>4518.8347967823356</v>
      </c>
    </row>
    <row r="154" spans="2:36" ht="16" thickTop="1" thickBot="1">
      <c r="C154" s="13" t="s">
        <v>11</v>
      </c>
      <c r="D154" s="46" t="s">
        <v>10</v>
      </c>
      <c r="E154" s="47">
        <v>95733.200970000005</v>
      </c>
      <c r="F154" s="47">
        <v>93775.477484833158</v>
      </c>
      <c r="G154" s="47">
        <v>91823.103671939913</v>
      </c>
      <c r="H154" s="47">
        <v>89863.595759507079</v>
      </c>
      <c r="I154" s="47">
        <v>87894.972389442613</v>
      </c>
      <c r="J154" s="47">
        <v>85915.086333204978</v>
      </c>
      <c r="K154" s="47">
        <v>83921.600497310399</v>
      </c>
      <c r="L154" s="47">
        <v>81911.95996136585</v>
      </c>
      <c r="M154" s="47">
        <v>79883.359357992987</v>
      </c>
      <c r="N154" s="47">
        <v>77832.704782216359</v>
      </c>
      <c r="O154" s="47">
        <v>75756.569274547728</v>
      </c>
      <c r="P154" s="47">
        <v>73651.14075328692</v>
      </c>
      <c r="Q154" s="47">
        <v>71512.161072989999</v>
      </c>
      <c r="R154" s="47">
        <v>69334.854652334732</v>
      </c>
      <c r="S154" s="47">
        <v>67113.844839518235</v>
      </c>
      <c r="T154" s="47">
        <v>64843.055859523047</v>
      </c>
      <c r="U154" s="47">
        <v>62515.597806459111</v>
      </c>
      <c r="V154" s="47">
        <v>60123.631695574637</v>
      </c>
      <c r="W154" s="47">
        <v>57658.211061476301</v>
      </c>
      <c r="X154" s="47">
        <v>55109.09596753533</v>
      </c>
      <c r="Y154" s="47">
        <v>52464.534559817643</v>
      </c>
      <c r="Z154" s="47">
        <v>49711.006437664859</v>
      </c>
      <c r="AA154" s="47">
        <v>46832.921099314197</v>
      </c>
      <c r="AB154" s="47">
        <v>43812.263527662566</v>
      </c>
      <c r="AC154" s="47">
        <v>40628.177576645096</v>
      </c>
      <c r="AD154" s="47">
        <v>37256.476165273467</v>
      </c>
      <c r="AE154" s="47">
        <v>33669.065340090063</v>
      </c>
      <c r="AF154" s="47">
        <v>29833.266975761435</v>
      </c>
      <c r="AG154" s="47">
        <v>25711.022186686689</v>
      </c>
      <c r="AH154" s="47">
        <v>21257.95434794312</v>
      </c>
      <c r="AI154" s="47">
        <v>11297.086991955839</v>
      </c>
    </row>
    <row r="155" spans="2:36" ht="16" thickTop="1" thickBot="1">
      <c r="C155" s="13" t="s">
        <v>11</v>
      </c>
      <c r="D155" s="45" t="s">
        <v>36</v>
      </c>
      <c r="E155" s="22">
        <v>0.10647669999999999</v>
      </c>
      <c r="F155" s="22">
        <v>0.15304670612854882</v>
      </c>
      <c r="G155" s="22">
        <v>0.21998516348457814</v>
      </c>
      <c r="H155" s="22">
        <v>0.31620067741078567</v>
      </c>
      <c r="I155" s="22">
        <v>0.45449823438683373</v>
      </c>
      <c r="J155" s="22">
        <v>0.65328337292709149</v>
      </c>
      <c r="K155" s="22">
        <v>0.93901171237500547</v>
      </c>
      <c r="L155" s="22">
        <v>1.349709838820351</v>
      </c>
      <c r="M155" s="22">
        <v>1.9400361305407592</v>
      </c>
      <c r="N155" s="22">
        <v>2.7885550505381791</v>
      </c>
      <c r="O155" s="22">
        <v>4.0081930163406385</v>
      </c>
      <c r="P155" s="22">
        <v>5.7612673822384357</v>
      </c>
      <c r="Q155" s="22">
        <v>8.2810886886749842</v>
      </c>
      <c r="R155" s="22">
        <v>11.903011146664857</v>
      </c>
      <c r="S155" s="22">
        <v>17.109063757690247</v>
      </c>
      <c r="T155" s="22">
        <v>24.592101868839141</v>
      </c>
      <c r="U155" s="22">
        <v>35.348016869451811</v>
      </c>
      <c r="V155" s="22">
        <v>50.80827589553374</v>
      </c>
      <c r="W155" s="22">
        <v>73.03043078797505</v>
      </c>
      <c r="X155" s="22">
        <v>104.97195047600593</v>
      </c>
      <c r="Y155" s="22">
        <v>150.88382018077064</v>
      </c>
      <c r="Z155" s="22">
        <v>216.87629018141249</v>
      </c>
      <c r="AA155" s="22">
        <v>311.73206766968275</v>
      </c>
      <c r="AB155" s="22">
        <v>448.07517655493484</v>
      </c>
      <c r="AC155" s="22">
        <v>644.05104468583954</v>
      </c>
      <c r="AD155" s="22">
        <v>925.741415425333</v>
      </c>
      <c r="AE155" s="22">
        <v>1330.6354757203012</v>
      </c>
      <c r="AF155" s="22">
        <v>1912.6191609693635</v>
      </c>
      <c r="AG155" s="22">
        <v>2749.1466458362233</v>
      </c>
      <c r="AH155" s="22">
        <v>3951.5484496568934</v>
      </c>
      <c r="AI155" s="22">
        <v>6778.2521951735034</v>
      </c>
    </row>
    <row r="156" spans="2:36" ht="16" thickTop="1" thickBot="1">
      <c r="C156" s="13" t="s">
        <v>11</v>
      </c>
      <c r="D156" s="46" t="s">
        <v>21</v>
      </c>
      <c r="E156" s="47">
        <v>110</v>
      </c>
      <c r="F156" s="47">
        <v>125.33970092925345</v>
      </c>
      <c r="G156" s="47">
        <v>147.54439824895678</v>
      </c>
      <c r="H156" s="47">
        <v>173.68279398507758</v>
      </c>
      <c r="I156" s="47">
        <v>204.45176695602669</v>
      </c>
      <c r="J156" s="47">
        <v>240.67165234014396</v>
      </c>
      <c r="K156" s="47">
        <v>283.30811272760053</v>
      </c>
      <c r="L156" s="47">
        <v>333.4978837633837</v>
      </c>
      <c r="M156" s="47">
        <v>392.57908078895605</v>
      </c>
      <c r="N156" s="47">
        <v>462.12687449149888</v>
      </c>
      <c r="O156" s="47">
        <v>543.99548671338528</v>
      </c>
      <c r="P156" s="47">
        <v>640.36762607706078</v>
      </c>
      <c r="Q156" s="47">
        <v>753.81268143429315</v>
      </c>
      <c r="R156" s="47">
        <v>887.35522464213216</v>
      </c>
      <c r="S156" s="47">
        <v>1044.5556490260813</v>
      </c>
      <c r="T156" s="47">
        <v>1229.6050934419573</v>
      </c>
      <c r="U156" s="47">
        <v>1447.4371827179245</v>
      </c>
      <c r="V156" s="47">
        <v>1703.8595636016692</v>
      </c>
      <c r="W156" s="47">
        <v>2005.7087431079428</v>
      </c>
      <c r="X156" s="47">
        <v>2361.0323574297322</v>
      </c>
      <c r="Y156" s="47">
        <v>2779.3037309057559</v>
      </c>
      <c r="Z156" s="47">
        <v>3271.6744454259547</v>
      </c>
      <c r="AA156" s="47">
        <v>3851.2716540573688</v>
      </c>
      <c r="AB156" s="47">
        <v>4533.5480656036661</v>
      </c>
      <c r="AC156" s="47">
        <v>5336.6939310774933</v>
      </c>
      <c r="AD156" s="47">
        <v>6282.1220161050715</v>
      </c>
      <c r="AE156" s="47">
        <v>7395.0384891688836</v>
      </c>
      <c r="AF156" s="47">
        <v>8705.1149462065041</v>
      </c>
      <c r="AG156" s="47">
        <v>10247.279488491824</v>
      </c>
      <c r="AH156" s="47">
        <v>12062.647944818336</v>
      </c>
      <c r="AI156" s="47">
        <v>16945.630487933755</v>
      </c>
    </row>
    <row r="157" spans="2:36" ht="16" thickTop="1" thickBot="1">
      <c r="C157" s="13" t="s">
        <v>11</v>
      </c>
      <c r="D157" s="46" t="s">
        <v>25</v>
      </c>
      <c r="E157" s="47">
        <v>10647.67</v>
      </c>
      <c r="F157" s="47">
        <v>11127.79969423759</v>
      </c>
      <c r="G157" s="47">
        <v>11629.579620243134</v>
      </c>
      <c r="H157" s="47">
        <v>12153.986040349979</v>
      </c>
      <c r="I157" s="47">
        <v>12702.039238967252</v>
      </c>
      <c r="J157" s="47">
        <v>13274.805507643801</v>
      </c>
      <c r="K157" s="47">
        <v>13873.399219643563</v>
      </c>
      <c r="L157" s="47">
        <v>14498.984998068654</v>
      </c>
      <c r="M157" s="47">
        <v>15152.779981748474</v>
      </c>
      <c r="N157" s="47">
        <v>15836.056193303339</v>
      </c>
      <c r="O157" s="47">
        <v>16550.143013989931</v>
      </c>
      <c r="P157" s="47">
        <v>17296.429770143659</v>
      </c>
      <c r="Q157" s="47">
        <v>18076.368436250053</v>
      </c>
      <c r="R157" s="47">
        <v>18891.476459904316</v>
      </c>
      <c r="S157" s="47">
        <v>19743.339714155292</v>
      </c>
      <c r="T157" s="47">
        <v>20633.615582977884</v>
      </c>
      <c r="U157" s="47">
        <v>21564.03618587703</v>
      </c>
      <c r="V157" s="47">
        <v>22536.411747897026</v>
      </c>
      <c r="W157" s="47">
        <v>23552.634121592891</v>
      </c>
      <c r="X157" s="47">
        <v>24614.680467816073</v>
      </c>
      <c r="Y157" s="47">
        <v>25724.617102475913</v>
      </c>
      <c r="Z157" s="47">
        <v>26884.603516760995</v>
      </c>
      <c r="AA157" s="47">
        <v>28096.896578642263</v>
      </c>
      <c r="AB157" s="47">
        <v>29363.854923832216</v>
      </c>
      <c r="AC157" s="47">
        <v>30687.943544743321</v>
      </c>
      <c r="AD157" s="47">
        <v>32071.738586373838</v>
      </c>
      <c r="AE157" s="47">
        <v>33517.93235845201</v>
      </c>
      <c r="AF157" s="47">
        <v>35029.338573590139</v>
      </c>
      <c r="AG157" s="47">
        <v>36608.897821639985</v>
      </c>
      <c r="AH157" s="47">
        <v>38259.683290900328</v>
      </c>
      <c r="AI157" s="47">
        <v>42364.076219834395</v>
      </c>
    </row>
    <row r="158" spans="2:36" ht="16" thickTop="1" thickBot="1">
      <c r="C158" s="13" t="s">
        <v>11</v>
      </c>
      <c r="D158" s="48" t="s">
        <v>37</v>
      </c>
      <c r="E158" s="22">
        <v>106476.7</v>
      </c>
      <c r="F158" s="22">
        <v>105028.61688</v>
      </c>
      <c r="G158" s="22">
        <v>103600.227690432</v>
      </c>
      <c r="H158" s="22">
        <v>102191.26459384213</v>
      </c>
      <c r="I158" s="22">
        <v>100801.46339536589</v>
      </c>
      <c r="J158" s="22">
        <v>99430.563493188922</v>
      </c>
      <c r="K158" s="22">
        <v>98078.307829681551</v>
      </c>
      <c r="L158" s="22">
        <v>96744.442843197889</v>
      </c>
      <c r="M158" s="22">
        <v>95428.718420530407</v>
      </c>
      <c r="N158" s="22">
        <v>94130.887850011204</v>
      </c>
      <c r="O158" s="22">
        <v>92850.707775251052</v>
      </c>
      <c r="P158" s="22">
        <v>91587.938149507638</v>
      </c>
      <c r="Q158" s="22">
        <v>90342.342190674346</v>
      </c>
      <c r="R158" s="22">
        <v>89113.686336881176</v>
      </c>
      <c r="S158" s="22">
        <v>87901.740202699599</v>
      </c>
      <c r="T158" s="22">
        <v>86706.276535942889</v>
      </c>
      <c r="U158" s="22">
        <v>85527.071175054065</v>
      </c>
      <c r="V158" s="22">
        <v>84363.903007073328</v>
      </c>
      <c r="W158" s="22">
        <v>83216.553926177134</v>
      </c>
      <c r="X158" s="22">
        <v>82084.808792781128</v>
      </c>
      <c r="Y158" s="22">
        <v>80968.455393199314</v>
      </c>
      <c r="Z158" s="22">
        <v>79867.284399851807</v>
      </c>
      <c r="AA158" s="22">
        <v>78781.089332013828</v>
      </c>
      <c r="AB158" s="22">
        <v>77709.666517098449</v>
      </c>
      <c r="AC158" s="22">
        <v>76652.815052465914</v>
      </c>
      <c r="AD158" s="22">
        <v>75610.336767752378</v>
      </c>
      <c r="AE158" s="22">
        <v>74582.036187710954</v>
      </c>
      <c r="AF158" s="22">
        <v>73567.720495558082</v>
      </c>
      <c r="AG158" s="22">
        <v>72567.199496818503</v>
      </c>
      <c r="AH158" s="22">
        <v>71580.285583661782</v>
      </c>
      <c r="AI158" s="22">
        <v>70606.793699723989</v>
      </c>
    </row>
    <row r="159" spans="2:36" s="49" customFormat="1" ht="15" thickTop="1">
      <c r="B159" s="5"/>
      <c r="C159" s="50" t="s">
        <v>38</v>
      </c>
      <c r="D159" s="51" t="str">
        <f>D150</f>
        <v>DRI-EAF</v>
      </c>
      <c r="E159" s="52"/>
      <c r="F159" s="53">
        <v>0.13945182662957678</v>
      </c>
      <c r="G159" s="53">
        <v>0.1771561377207731</v>
      </c>
      <c r="H159" s="53">
        <v>0.17715613772077332</v>
      </c>
      <c r="I159" s="53">
        <v>0.17715613772077332</v>
      </c>
      <c r="J159" s="53">
        <v>0.1771561377207731</v>
      </c>
      <c r="K159" s="53">
        <v>0.1771561377207731</v>
      </c>
      <c r="L159" s="53">
        <v>0.17715613772077332</v>
      </c>
      <c r="M159" s="53">
        <v>0.1771561377207731</v>
      </c>
      <c r="N159" s="53">
        <v>0.1771561377207731</v>
      </c>
      <c r="O159" s="53">
        <v>0.1771561377207731</v>
      </c>
      <c r="P159" s="53">
        <v>0.1771561377207731</v>
      </c>
      <c r="Q159" s="53">
        <v>0.1771561377207731</v>
      </c>
      <c r="R159" s="53">
        <v>0.17715613772077332</v>
      </c>
      <c r="S159" s="53">
        <v>0.1771561377207731</v>
      </c>
      <c r="T159" s="53">
        <v>0.1771561377207731</v>
      </c>
      <c r="U159" s="53">
        <v>0.17715613772077288</v>
      </c>
      <c r="V159" s="53">
        <v>0.1771561377207731</v>
      </c>
      <c r="W159" s="53">
        <v>0.1771561377207731</v>
      </c>
      <c r="X159" s="53">
        <v>0.1771561377207731</v>
      </c>
      <c r="Y159" s="53">
        <v>0.17715613772077332</v>
      </c>
      <c r="Z159" s="53">
        <v>0.1771561377207731</v>
      </c>
      <c r="AA159" s="53">
        <v>0.1771561377207731</v>
      </c>
      <c r="AB159" s="53">
        <v>0.17715613772077332</v>
      </c>
      <c r="AC159" s="53">
        <v>0.1771561377207731</v>
      </c>
      <c r="AD159" s="53">
        <v>0.1771561377207731</v>
      </c>
      <c r="AE159" s="53">
        <v>0.17715613772077332</v>
      </c>
      <c r="AF159" s="53">
        <v>0.1771561377207731</v>
      </c>
      <c r="AG159" s="53">
        <v>0.1771561377207731</v>
      </c>
      <c r="AH159" s="53">
        <v>0.17715613772077332</v>
      </c>
      <c r="AI159" s="53">
        <v>0.40480187811607027</v>
      </c>
      <c r="AJ159" s="5"/>
    </row>
    <row r="160" spans="2:36" s="49" customFormat="1" ht="14">
      <c r="C160" s="50" t="s">
        <v>38</v>
      </c>
      <c r="D160" s="51" t="str">
        <f>D151</f>
        <v>Sracp-EAF</v>
      </c>
      <c r="E160" s="52"/>
      <c r="F160" s="53">
        <v>4.5092465697903039E-2</v>
      </c>
      <c r="G160" s="53">
        <v>4.5092465697903039E-2</v>
      </c>
      <c r="H160" s="53">
        <v>4.5092465697903039E-2</v>
      </c>
      <c r="I160" s="53">
        <v>4.5092465697903039E-2</v>
      </c>
      <c r="J160" s="53">
        <v>4.5092465697903039E-2</v>
      </c>
      <c r="K160" s="53">
        <v>4.5092465697903039E-2</v>
      </c>
      <c r="L160" s="53">
        <v>4.5092465697903039E-2</v>
      </c>
      <c r="M160" s="53">
        <v>4.5092465697902817E-2</v>
      </c>
      <c r="N160" s="53">
        <v>4.5092465697903039E-2</v>
      </c>
      <c r="O160" s="53">
        <v>4.5092465697902817E-2</v>
      </c>
      <c r="P160" s="53">
        <v>4.5092465697902817E-2</v>
      </c>
      <c r="Q160" s="53">
        <v>4.5092465697903261E-2</v>
      </c>
      <c r="R160" s="53">
        <v>4.5092465697903039E-2</v>
      </c>
      <c r="S160" s="53">
        <v>4.5092465697903039E-2</v>
      </c>
      <c r="T160" s="53">
        <v>4.5092465697902817E-2</v>
      </c>
      <c r="U160" s="53">
        <v>4.5092465697903039E-2</v>
      </c>
      <c r="V160" s="53">
        <v>4.5092465697902817E-2</v>
      </c>
      <c r="W160" s="53">
        <v>4.5092465697903039E-2</v>
      </c>
      <c r="X160" s="53">
        <v>4.5092465697902817E-2</v>
      </c>
      <c r="Y160" s="53">
        <v>4.5092465697903039E-2</v>
      </c>
      <c r="Z160" s="53">
        <v>4.5092465697902817E-2</v>
      </c>
      <c r="AA160" s="53">
        <v>4.5092465697903039E-2</v>
      </c>
      <c r="AB160" s="53">
        <v>4.5092465697903039E-2</v>
      </c>
      <c r="AC160" s="53">
        <v>4.5092465697903039E-2</v>
      </c>
      <c r="AD160" s="53">
        <v>4.5092465697902817E-2</v>
      </c>
      <c r="AE160" s="53">
        <v>4.5092465697902817E-2</v>
      </c>
      <c r="AF160" s="53">
        <v>4.5092465697903039E-2</v>
      </c>
      <c r="AG160" s="53">
        <v>4.5092465697903039E-2</v>
      </c>
      <c r="AH160" s="53">
        <v>4.5092465697903261E-2</v>
      </c>
      <c r="AI160" s="53">
        <v>0.10727723221666752</v>
      </c>
    </row>
    <row r="161" spans="1:35" ht="14.25" customHeight="1"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</row>
    <row r="163" spans="1:35" ht="14">
      <c r="B163" s="6" t="s">
        <v>39</v>
      </c>
      <c r="E163" s="1">
        <v>2020</v>
      </c>
      <c r="F163" s="1">
        <v>2021</v>
      </c>
      <c r="G163" s="1">
        <v>2022</v>
      </c>
      <c r="H163" s="1">
        <v>2023</v>
      </c>
      <c r="I163" s="1">
        <v>2024</v>
      </c>
      <c r="J163" s="1">
        <v>2025</v>
      </c>
      <c r="K163" s="1">
        <v>2026</v>
      </c>
      <c r="L163" s="1">
        <v>2027</v>
      </c>
      <c r="M163" s="1">
        <v>2028</v>
      </c>
      <c r="N163" s="1">
        <v>2029</v>
      </c>
      <c r="O163" s="1">
        <v>2030</v>
      </c>
      <c r="P163" s="1">
        <v>2031</v>
      </c>
      <c r="Q163" s="1">
        <v>2032</v>
      </c>
      <c r="R163" s="1">
        <v>2033</v>
      </c>
      <c r="S163" s="1">
        <v>2034</v>
      </c>
      <c r="T163" s="1">
        <v>2035</v>
      </c>
      <c r="U163" s="1">
        <v>2036</v>
      </c>
      <c r="V163" s="1">
        <v>2037</v>
      </c>
      <c r="W163" s="1">
        <v>2038</v>
      </c>
      <c r="X163" s="1">
        <v>2039</v>
      </c>
      <c r="Y163" s="1">
        <v>2040</v>
      </c>
      <c r="Z163" s="1">
        <v>2041</v>
      </c>
      <c r="AA163" s="1">
        <v>2042</v>
      </c>
      <c r="AB163" s="1">
        <v>2043</v>
      </c>
      <c r="AC163" s="1">
        <v>2044</v>
      </c>
      <c r="AD163" s="1">
        <v>2045</v>
      </c>
      <c r="AE163" s="1">
        <v>2046</v>
      </c>
      <c r="AF163" s="1">
        <v>2047</v>
      </c>
      <c r="AG163" s="1">
        <v>2048</v>
      </c>
      <c r="AH163" s="1">
        <v>2049</v>
      </c>
      <c r="AI163" s="1">
        <v>2050</v>
      </c>
    </row>
    <row r="164" spans="1:35" ht="15" thickBot="1">
      <c r="A164" s="11"/>
      <c r="B164" s="12" t="s">
        <v>40</v>
      </c>
    </row>
    <row r="165" spans="1:35" ht="16" thickTop="1" thickBot="1">
      <c r="C165" s="13" t="s">
        <v>5</v>
      </c>
      <c r="D165" s="55" t="s">
        <v>15</v>
      </c>
      <c r="E165" s="18">
        <v>2.6</v>
      </c>
      <c r="F165" s="21">
        <v>2.6</v>
      </c>
      <c r="G165" s="21">
        <v>2.6</v>
      </c>
      <c r="H165" s="21">
        <v>2.6</v>
      </c>
      <c r="I165" s="21">
        <v>2.6</v>
      </c>
      <c r="J165" s="21">
        <v>2.6</v>
      </c>
      <c r="K165" s="21">
        <v>2.6</v>
      </c>
      <c r="L165" s="21">
        <v>2.6</v>
      </c>
      <c r="M165" s="21">
        <v>2.6</v>
      </c>
      <c r="N165" s="21">
        <v>2.6</v>
      </c>
      <c r="O165" s="21">
        <v>2.6</v>
      </c>
      <c r="P165" s="21">
        <v>2.6</v>
      </c>
      <c r="Q165" s="21">
        <v>2.6</v>
      </c>
      <c r="R165" s="21">
        <v>2.6</v>
      </c>
      <c r="S165" s="21">
        <v>2.6</v>
      </c>
      <c r="T165" s="21">
        <v>2.6</v>
      </c>
      <c r="U165" s="21">
        <v>2.6</v>
      </c>
      <c r="V165" s="21">
        <v>2.6</v>
      </c>
      <c r="W165" s="21">
        <v>2.6</v>
      </c>
      <c r="X165" s="21">
        <v>2.6</v>
      </c>
      <c r="Y165" s="21">
        <v>2.6</v>
      </c>
      <c r="Z165" s="21">
        <v>2.6</v>
      </c>
      <c r="AA165" s="21">
        <v>2.6</v>
      </c>
      <c r="AB165" s="21">
        <v>2.6</v>
      </c>
      <c r="AC165" s="21">
        <v>2.6</v>
      </c>
      <c r="AD165" s="21">
        <v>2.6</v>
      </c>
      <c r="AE165" s="21">
        <v>2.6</v>
      </c>
      <c r="AF165" s="21">
        <v>2.6</v>
      </c>
      <c r="AG165" s="21">
        <v>2.6</v>
      </c>
      <c r="AH165" s="21">
        <v>2.6</v>
      </c>
      <c r="AI165" s="21">
        <v>2.6</v>
      </c>
    </row>
    <row r="166" spans="1:35" ht="16" thickTop="1" thickBot="1">
      <c r="C166" s="13" t="s">
        <v>5</v>
      </c>
      <c r="D166" s="55" t="s">
        <v>16</v>
      </c>
      <c r="E166" s="18">
        <v>2.59</v>
      </c>
      <c r="F166" s="21">
        <v>2.59</v>
      </c>
      <c r="G166" s="21">
        <v>2.59</v>
      </c>
      <c r="H166" s="21">
        <v>2.59</v>
      </c>
      <c r="I166" s="18">
        <v>2.59</v>
      </c>
      <c r="J166" s="18">
        <v>2.59</v>
      </c>
      <c r="K166" s="18">
        <v>2.59</v>
      </c>
      <c r="L166" s="18">
        <v>2.59</v>
      </c>
      <c r="M166" s="18">
        <v>2.59</v>
      </c>
      <c r="N166" s="18">
        <v>2.59</v>
      </c>
      <c r="O166" s="18">
        <v>2.59</v>
      </c>
      <c r="P166" s="18">
        <v>2.59</v>
      </c>
      <c r="Q166" s="18">
        <v>2.59</v>
      </c>
      <c r="R166" s="18">
        <v>2.59</v>
      </c>
      <c r="S166" s="18">
        <v>2.59</v>
      </c>
      <c r="T166" s="18">
        <v>2.59</v>
      </c>
      <c r="U166" s="18">
        <v>2.59</v>
      </c>
      <c r="V166" s="18">
        <v>2.59</v>
      </c>
      <c r="W166" s="18">
        <v>2.59</v>
      </c>
      <c r="X166" s="18">
        <v>2.59</v>
      </c>
      <c r="Y166" s="18">
        <v>2.59</v>
      </c>
      <c r="Z166" s="18">
        <v>2.59</v>
      </c>
      <c r="AA166" s="18">
        <v>2.59</v>
      </c>
      <c r="AB166" s="18">
        <v>2.59</v>
      </c>
      <c r="AC166" s="18">
        <v>2.59</v>
      </c>
      <c r="AD166" s="18">
        <v>2.59</v>
      </c>
      <c r="AE166" s="18">
        <v>2.59</v>
      </c>
      <c r="AF166" s="18">
        <v>2.59</v>
      </c>
      <c r="AG166" s="18">
        <v>2.59</v>
      </c>
      <c r="AH166" s="18">
        <v>2.59</v>
      </c>
      <c r="AI166" s="18">
        <v>2.59</v>
      </c>
    </row>
    <row r="167" spans="1:35" ht="16" thickTop="1" thickBot="1">
      <c r="C167" s="13" t="s">
        <v>5</v>
      </c>
      <c r="D167" s="55" t="s">
        <v>41</v>
      </c>
      <c r="E167" s="56">
        <v>0</v>
      </c>
      <c r="F167" s="22">
        <v>0</v>
      </c>
      <c r="G167" s="22">
        <v>0</v>
      </c>
      <c r="H167" s="22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</row>
    <row r="168" spans="1:35" ht="16" thickTop="1" thickBot="1">
      <c r="A168" s="57"/>
      <c r="C168" s="13" t="s">
        <v>5</v>
      </c>
      <c r="D168" s="55" t="s">
        <v>42</v>
      </c>
      <c r="E168" s="58">
        <v>0.58099999999999996</v>
      </c>
      <c r="F168" s="59">
        <v>0.58099999999999996</v>
      </c>
      <c r="G168" s="59">
        <v>0.58099999999999996</v>
      </c>
      <c r="H168" s="59">
        <v>0.58099999999999996</v>
      </c>
      <c r="I168" s="18">
        <v>0.58099999999999996</v>
      </c>
      <c r="J168" s="18">
        <v>0.5</v>
      </c>
      <c r="K168" s="18">
        <v>0.48287061441414919</v>
      </c>
      <c r="L168" s="18">
        <v>0.48287061441414919</v>
      </c>
      <c r="M168" s="18">
        <v>0.48287061441414919</v>
      </c>
      <c r="N168" s="18">
        <v>0.48287061441414919</v>
      </c>
      <c r="O168" s="18">
        <v>0.41</v>
      </c>
      <c r="P168" s="18">
        <v>0.40155004901362651</v>
      </c>
      <c r="Q168" s="18">
        <v>0.39327424844596548</v>
      </c>
      <c r="R168" s="18">
        <v>0.38516900912018187</v>
      </c>
      <c r="S168" s="18">
        <v>0.37723081583107071</v>
      </c>
      <c r="T168" s="18">
        <v>0.36945622582052867</v>
      </c>
      <c r="U168" s="18">
        <v>0.36184186728444573</v>
      </c>
      <c r="V168" s="18">
        <v>0.35438443791036911</v>
      </c>
      <c r="W168" s="18">
        <v>0.34708070344530539</v>
      </c>
      <c r="X168" s="18">
        <v>0.33992749629303987</v>
      </c>
      <c r="Y168" s="18">
        <v>0.33292171414036464</v>
      </c>
      <c r="Z168" s="18">
        <v>0.32606031861161944</v>
      </c>
      <c r="AA168" s="18">
        <v>0.31934033395096212</v>
      </c>
      <c r="AB168" s="18">
        <v>0.31275884573179685</v>
      </c>
      <c r="AC168" s="18">
        <v>0.30631299959280067</v>
      </c>
      <c r="AD168" s="18">
        <v>0.3</v>
      </c>
      <c r="AE168" s="18">
        <v>0.2766323734445183</v>
      </c>
      <c r="AF168" s="18">
        <v>0.25508490012515816</v>
      </c>
      <c r="AG168" s="18">
        <v>0.23521580450493471</v>
      </c>
      <c r="AH168" s="18">
        <v>0.21689435423953971</v>
      </c>
      <c r="AI168" s="18">
        <v>0.2</v>
      </c>
    </row>
    <row r="169" spans="1:35" ht="16" thickTop="1" thickBot="1">
      <c r="A169" s="57"/>
      <c r="C169" s="13" t="s">
        <v>5</v>
      </c>
      <c r="D169" s="55" t="s">
        <v>43</v>
      </c>
      <c r="E169" s="18">
        <v>0.11</v>
      </c>
      <c r="F169" s="21">
        <v>0.11</v>
      </c>
      <c r="G169" s="21">
        <v>0.11</v>
      </c>
      <c r="H169" s="21">
        <v>0.11</v>
      </c>
      <c r="I169" s="18">
        <v>0.11</v>
      </c>
      <c r="J169" s="18">
        <v>0.11</v>
      </c>
      <c r="K169" s="18">
        <v>0.11</v>
      </c>
      <c r="L169" s="18">
        <v>0.11</v>
      </c>
      <c r="M169" s="18">
        <v>0.11</v>
      </c>
      <c r="N169" s="18">
        <v>0.11</v>
      </c>
      <c r="O169" s="18">
        <v>0.11</v>
      </c>
      <c r="P169" s="18">
        <v>0.11</v>
      </c>
      <c r="Q169" s="18">
        <v>0.11</v>
      </c>
      <c r="R169" s="18">
        <v>0.11</v>
      </c>
      <c r="S169" s="18">
        <v>0.11</v>
      </c>
      <c r="T169" s="18">
        <v>0.11</v>
      </c>
      <c r="U169" s="18">
        <v>0.11</v>
      </c>
      <c r="V169" s="18">
        <v>0.11</v>
      </c>
      <c r="W169" s="18">
        <v>0.11</v>
      </c>
      <c r="X169" s="18">
        <v>0.11</v>
      </c>
      <c r="Y169" s="18">
        <v>0.11</v>
      </c>
      <c r="Z169" s="18">
        <v>0.11</v>
      </c>
      <c r="AA169" s="18">
        <v>0.11</v>
      </c>
      <c r="AB169" s="18">
        <v>0.11</v>
      </c>
      <c r="AC169" s="18">
        <v>0.11</v>
      </c>
      <c r="AD169" s="18">
        <v>0.11</v>
      </c>
      <c r="AE169" s="18">
        <v>0.11</v>
      </c>
      <c r="AF169" s="18">
        <v>0.11</v>
      </c>
      <c r="AG169" s="18">
        <v>0.11</v>
      </c>
      <c r="AH169" s="18">
        <v>0.11</v>
      </c>
      <c r="AI169" s="18">
        <v>0.11</v>
      </c>
    </row>
    <row r="170" spans="1:35" s="5" customFormat="1" ht="16" thickTop="1" thickBot="1">
      <c r="A170" s="60"/>
      <c r="C170" s="13" t="s">
        <v>5</v>
      </c>
      <c r="D170" s="55" t="s">
        <v>20</v>
      </c>
      <c r="E170" s="25">
        <v>3.0927835051546393</v>
      </c>
      <c r="F170" s="25">
        <v>3.0495969106912839</v>
      </c>
      <c r="G170" s="25">
        <v>3.0070133593889627</v>
      </c>
      <c r="H170" s="25">
        <v>2.9650244305546667</v>
      </c>
      <c r="I170" s="18">
        <v>2.923621821079128</v>
      </c>
      <c r="J170" s="18">
        <v>2.8827973437949197</v>
      </c>
      <c r="K170" s="18">
        <v>2.8425429258574817</v>
      </c>
      <c r="L170" s="18">
        <v>2.8028506071487564</v>
      </c>
      <c r="M170" s="18">
        <v>2.7637125387031118</v>
      </c>
      <c r="N170" s="18">
        <v>2.7251209811552473</v>
      </c>
      <c r="O170" s="18">
        <v>2.6870683032097706</v>
      </c>
      <c r="P170" s="18">
        <v>2.6495469801321456</v>
      </c>
      <c r="Q170" s="18">
        <v>2.6125495922607134</v>
      </c>
      <c r="R170" s="18">
        <v>2.576068823539488</v>
      </c>
      <c r="S170" s="18">
        <v>2.5400974600714425</v>
      </c>
      <c r="T170" s="18">
        <v>2.5046283886919962</v>
      </c>
      <c r="U170" s="18">
        <v>2.4696545955624187</v>
      </c>
      <c r="V170" s="18">
        <v>2.4351691647828781</v>
      </c>
      <c r="W170" s="18">
        <v>2.4011652770248544</v>
      </c>
      <c r="X170" s="18">
        <v>2.3676362081826503</v>
      </c>
      <c r="Y170" s="18">
        <v>2.3345753280437322</v>
      </c>
      <c r="Z170" s="18">
        <v>2.3019760989776361</v>
      </c>
      <c r="AA170" s="18">
        <v>2.2698320746431837</v>
      </c>
      <c r="AB170" s="18">
        <v>2.2381368987137487</v>
      </c>
      <c r="AC170" s="18">
        <v>2.2068843036203236</v>
      </c>
      <c r="AD170" s="18">
        <v>2.1760681093121383</v>
      </c>
      <c r="AE170" s="18">
        <v>2.1456822220345857</v>
      </c>
      <c r="AF170" s="18">
        <v>2.1157206331242087</v>
      </c>
      <c r="AG170" s="18">
        <v>2.0861774178205175</v>
      </c>
      <c r="AH170" s="18">
        <v>2.0570467340943961</v>
      </c>
      <c r="AI170" s="18">
        <v>2</v>
      </c>
    </row>
    <row r="171" spans="1:35" ht="16" thickTop="1" thickBot="1">
      <c r="A171" s="61"/>
      <c r="D171" s="55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</row>
    <row r="172" spans="1:35" ht="16" thickTop="1" thickBot="1">
      <c r="A172" s="61"/>
      <c r="C172" s="13" t="s">
        <v>9</v>
      </c>
      <c r="D172" s="55" t="s">
        <v>15</v>
      </c>
      <c r="E172" s="18">
        <v>2.6</v>
      </c>
      <c r="F172" s="21">
        <v>2.6</v>
      </c>
      <c r="G172" s="21">
        <v>2.6</v>
      </c>
      <c r="H172" s="21">
        <v>2.6</v>
      </c>
      <c r="I172" s="18">
        <v>2.6</v>
      </c>
      <c r="J172" s="18">
        <v>2.6</v>
      </c>
      <c r="K172" s="18">
        <v>2.6</v>
      </c>
      <c r="L172" s="18">
        <v>2.6</v>
      </c>
      <c r="M172" s="18">
        <v>2.6</v>
      </c>
      <c r="N172" s="18">
        <v>2.6</v>
      </c>
      <c r="O172" s="18">
        <v>2.6</v>
      </c>
      <c r="P172" s="18">
        <v>2.6</v>
      </c>
      <c r="Q172" s="18">
        <v>2.6</v>
      </c>
      <c r="R172" s="18">
        <v>2.6</v>
      </c>
      <c r="S172" s="18">
        <v>2.6</v>
      </c>
      <c r="T172" s="18">
        <v>2.6</v>
      </c>
      <c r="U172" s="18">
        <v>2.6</v>
      </c>
      <c r="V172" s="18">
        <v>2.6</v>
      </c>
      <c r="W172" s="18">
        <v>2.6</v>
      </c>
      <c r="X172" s="18">
        <v>2.6</v>
      </c>
      <c r="Y172" s="18">
        <v>2.6</v>
      </c>
      <c r="Z172" s="18">
        <v>2.6</v>
      </c>
      <c r="AA172" s="18">
        <v>2.6</v>
      </c>
      <c r="AB172" s="18">
        <v>2.6</v>
      </c>
      <c r="AC172" s="18">
        <v>2.6</v>
      </c>
      <c r="AD172" s="18">
        <v>2.6</v>
      </c>
      <c r="AE172" s="18">
        <v>2.6</v>
      </c>
      <c r="AF172" s="18">
        <v>2.6</v>
      </c>
      <c r="AG172" s="18">
        <v>2.6</v>
      </c>
      <c r="AH172" s="18">
        <v>2.6</v>
      </c>
      <c r="AI172" s="18">
        <v>2.6</v>
      </c>
    </row>
    <row r="173" spans="1:35" ht="16" thickTop="1" thickBot="1">
      <c r="A173" s="61"/>
      <c r="C173" s="13" t="s">
        <v>9</v>
      </c>
      <c r="D173" s="55" t="s">
        <v>16</v>
      </c>
      <c r="E173" s="18">
        <v>2.59</v>
      </c>
      <c r="F173" s="21">
        <v>2.59</v>
      </c>
      <c r="G173" s="21">
        <v>2.59</v>
      </c>
      <c r="H173" s="21">
        <v>2.59</v>
      </c>
      <c r="I173" s="18">
        <v>2.59</v>
      </c>
      <c r="J173" s="18">
        <v>2.59</v>
      </c>
      <c r="K173" s="18">
        <v>2.59</v>
      </c>
      <c r="L173" s="18">
        <v>2.59</v>
      </c>
      <c r="M173" s="18">
        <v>2.59</v>
      </c>
      <c r="N173" s="18">
        <v>2.59</v>
      </c>
      <c r="O173" s="18">
        <v>2.59</v>
      </c>
      <c r="P173" s="18">
        <v>2.59</v>
      </c>
      <c r="Q173" s="18">
        <v>2.59</v>
      </c>
      <c r="R173" s="18">
        <v>2.59</v>
      </c>
      <c r="S173" s="18">
        <v>2.59</v>
      </c>
      <c r="T173" s="18">
        <v>2.59</v>
      </c>
      <c r="U173" s="18">
        <v>2.59</v>
      </c>
      <c r="V173" s="18">
        <v>2.59</v>
      </c>
      <c r="W173" s="18">
        <v>2.59</v>
      </c>
      <c r="X173" s="18">
        <v>2.59</v>
      </c>
      <c r="Y173" s="18">
        <v>2.59</v>
      </c>
      <c r="Z173" s="18">
        <v>2.59</v>
      </c>
      <c r="AA173" s="18">
        <v>2.59</v>
      </c>
      <c r="AB173" s="18">
        <v>2.59</v>
      </c>
      <c r="AC173" s="18">
        <v>2.59</v>
      </c>
      <c r="AD173" s="18">
        <v>2.59</v>
      </c>
      <c r="AE173" s="18">
        <v>2.59</v>
      </c>
      <c r="AF173" s="18">
        <v>2.59</v>
      </c>
      <c r="AG173" s="18">
        <v>2.59</v>
      </c>
      <c r="AH173" s="18">
        <v>2.59</v>
      </c>
      <c r="AI173" s="18">
        <v>2.59</v>
      </c>
    </row>
    <row r="174" spans="1:35" ht="16" thickTop="1" thickBot="1">
      <c r="A174" s="61"/>
      <c r="C174" s="13" t="s">
        <v>9</v>
      </c>
      <c r="D174" s="55" t="s">
        <v>41</v>
      </c>
      <c r="E174" s="56">
        <v>0</v>
      </c>
      <c r="F174" s="22">
        <v>0</v>
      </c>
      <c r="G174" s="22">
        <v>0</v>
      </c>
      <c r="H174" s="22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0</v>
      </c>
      <c r="AH174" s="18">
        <v>0</v>
      </c>
      <c r="AI174" s="18">
        <v>0</v>
      </c>
    </row>
    <row r="175" spans="1:35" ht="16" thickTop="1" thickBot="1">
      <c r="A175" s="57"/>
      <c r="C175" s="13" t="s">
        <v>9</v>
      </c>
      <c r="D175" s="55" t="s">
        <v>42</v>
      </c>
      <c r="E175" s="18">
        <v>0.58099999999999996</v>
      </c>
      <c r="F175" s="59">
        <v>0.58099999999999996</v>
      </c>
      <c r="G175" s="59">
        <v>0.58099999999999996</v>
      </c>
      <c r="H175" s="59">
        <v>0.58099999999999996</v>
      </c>
      <c r="I175" s="18">
        <v>0.58099999999999996</v>
      </c>
      <c r="J175" s="18">
        <v>0.5</v>
      </c>
      <c r="K175" s="18">
        <v>0.48287061441414919</v>
      </c>
      <c r="L175" s="18">
        <v>0.48287061441414919</v>
      </c>
      <c r="M175" s="18">
        <v>0.48287061441414919</v>
      </c>
      <c r="N175" s="18">
        <v>0.48287061441414919</v>
      </c>
      <c r="O175" s="18">
        <v>0.41</v>
      </c>
      <c r="P175" s="18">
        <v>0.39333245096323977</v>
      </c>
      <c r="Q175" s="18">
        <v>0.37734248044085228</v>
      </c>
      <c r="R175" s="18">
        <v>0.36200254313255803</v>
      </c>
      <c r="S175" s="18">
        <v>0.34728621352501216</v>
      </c>
      <c r="T175" s="18">
        <v>0.33316814036960019</v>
      </c>
      <c r="U175" s="18">
        <v>0.31962400301082822</v>
      </c>
      <c r="V175" s="18">
        <v>0.30663046949007561</v>
      </c>
      <c r="W175" s="18">
        <v>0.29416515635253748</v>
      </c>
      <c r="X175" s="18">
        <v>0.2822065900881176</v>
      </c>
      <c r="Y175" s="18">
        <v>0.27073417013984791</v>
      </c>
      <c r="Z175" s="18">
        <v>0.25972813341611012</v>
      </c>
      <c r="AA175" s="18">
        <v>0.24916952024552669</v>
      </c>
      <c r="AB175" s="18">
        <v>0.23904014171587223</v>
      </c>
      <c r="AC175" s="18">
        <v>0.22932254834074198</v>
      </c>
      <c r="AD175" s="18">
        <v>0.22</v>
      </c>
      <c r="AE175" s="18">
        <v>0.18790491700524398</v>
      </c>
      <c r="AF175" s="18">
        <v>0.16049208106703466</v>
      </c>
      <c r="AG175" s="18">
        <v>0.13707841442227289</v>
      </c>
      <c r="AH175" s="18">
        <v>0.11708049129648922</v>
      </c>
      <c r="AI175" s="18">
        <v>0.1</v>
      </c>
    </row>
    <row r="176" spans="1:35" ht="16" thickTop="1" thickBot="1">
      <c r="A176" s="57"/>
      <c r="C176" s="13" t="s">
        <v>9</v>
      </c>
      <c r="D176" s="55" t="s">
        <v>43</v>
      </c>
      <c r="E176" s="18">
        <v>0.11</v>
      </c>
      <c r="F176" s="21">
        <v>0.11</v>
      </c>
      <c r="G176" s="21">
        <v>0.11</v>
      </c>
      <c r="H176" s="21">
        <v>0.11</v>
      </c>
      <c r="I176" s="18">
        <v>0.11</v>
      </c>
      <c r="J176" s="18">
        <v>0.11</v>
      </c>
      <c r="K176" s="18">
        <v>0.11</v>
      </c>
      <c r="L176" s="18">
        <v>0.11</v>
      </c>
      <c r="M176" s="18">
        <v>0.11</v>
      </c>
      <c r="N176" s="18">
        <v>0.11</v>
      </c>
      <c r="O176" s="18">
        <v>0.11</v>
      </c>
      <c r="P176" s="18">
        <v>0.11</v>
      </c>
      <c r="Q176" s="18">
        <v>0.11</v>
      </c>
      <c r="R176" s="18">
        <v>0.11</v>
      </c>
      <c r="S176" s="18">
        <v>0.11</v>
      </c>
      <c r="T176" s="18">
        <v>0.11</v>
      </c>
      <c r="U176" s="18">
        <v>0.11</v>
      </c>
      <c r="V176" s="18">
        <v>0.11</v>
      </c>
      <c r="W176" s="18">
        <v>0.11</v>
      </c>
      <c r="X176" s="18">
        <v>0.11</v>
      </c>
      <c r="Y176" s="18">
        <v>0.11</v>
      </c>
      <c r="Z176" s="18">
        <v>0.11</v>
      </c>
      <c r="AA176" s="18">
        <v>0.11</v>
      </c>
      <c r="AB176" s="18">
        <v>0.11</v>
      </c>
      <c r="AC176" s="18">
        <v>0.11</v>
      </c>
      <c r="AD176" s="18">
        <v>0.11</v>
      </c>
      <c r="AE176" s="18">
        <v>0.11</v>
      </c>
      <c r="AF176" s="18">
        <v>0.11</v>
      </c>
      <c r="AG176" s="18">
        <v>0.11</v>
      </c>
      <c r="AH176" s="18">
        <v>0.11</v>
      </c>
      <c r="AI176" s="18">
        <v>0.11</v>
      </c>
    </row>
    <row r="177" spans="1:35" ht="16" thickTop="1" thickBot="1">
      <c r="A177" s="57"/>
      <c r="C177" s="13" t="s">
        <v>9</v>
      </c>
      <c r="D177" s="55" t="s">
        <v>20</v>
      </c>
      <c r="E177" s="18">
        <v>3.0927835051546393</v>
      </c>
      <c r="F177" s="18">
        <v>2.9162258073669229</v>
      </c>
      <c r="G177" s="18">
        <v>2.7497472569220918</v>
      </c>
      <c r="H177" s="18">
        <v>2.5927724656471431</v>
      </c>
      <c r="I177" s="18">
        <v>2.44475889254735</v>
      </c>
      <c r="J177" s="18">
        <v>2.3051949686597561</v>
      </c>
      <c r="K177" s="18">
        <v>2.1735983289531422</v>
      </c>
      <c r="L177" s="18">
        <v>2.0495141451634962</v>
      </c>
      <c r="M177" s="18">
        <v>1.9325135538028881</v>
      </c>
      <c r="N177" s="18">
        <v>1.822192173908586</v>
      </c>
      <c r="O177" s="18">
        <v>1.7181687094094089</v>
      </c>
      <c r="P177" s="18">
        <v>1.6200836312787787</v>
      </c>
      <c r="Q177" s="18">
        <v>1.5275979349196853</v>
      </c>
      <c r="R177" s="18">
        <v>1.4403919684868023</v>
      </c>
      <c r="S177" s="18">
        <v>1.3581643280961662</v>
      </c>
      <c r="T177" s="18">
        <v>1.2806308161040068</v>
      </c>
      <c r="U177" s="18">
        <v>1.207523458854304</v>
      </c>
      <c r="V177" s="18">
        <v>1.1385895805001784</v>
      </c>
      <c r="W177" s="18">
        <v>1.0735909296980293</v>
      </c>
      <c r="X177" s="18">
        <v>1.0123028561560758</v>
      </c>
      <c r="Y177" s="18">
        <v>0.95451353419126206</v>
      </c>
      <c r="Z177" s="18">
        <v>0.90002323061096035</v>
      </c>
      <c r="AA177" s="18">
        <v>0.84864361438910363</v>
      </c>
      <c r="AB177" s="18">
        <v>0.80019710575082925</v>
      </c>
      <c r="AC177" s="18">
        <v>0.75451626241592007</v>
      </c>
      <c r="AD177" s="18">
        <v>0.71144320087975976</v>
      </c>
      <c r="AE177" s="18">
        <v>0.67082905073161558</v>
      </c>
      <c r="AF177" s="18">
        <v>0.63253344012424739</v>
      </c>
      <c r="AG177" s="18">
        <v>0.59642401061650774</v>
      </c>
      <c r="AH177" s="18">
        <v>0.5623759597121164</v>
      </c>
      <c r="AI177" s="18">
        <v>0.5</v>
      </c>
    </row>
    <row r="178" spans="1:35" ht="16" thickTop="1" thickBot="1">
      <c r="A178" s="61"/>
      <c r="D178" s="5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</row>
    <row r="179" spans="1:35" ht="16" thickTop="1" thickBot="1">
      <c r="A179" s="61"/>
      <c r="C179" s="13" t="s">
        <v>11</v>
      </c>
      <c r="D179" s="55" t="s">
        <v>15</v>
      </c>
      <c r="E179" s="18">
        <v>2.6</v>
      </c>
      <c r="F179" s="21">
        <v>2.6</v>
      </c>
      <c r="G179" s="21">
        <v>2.6</v>
      </c>
      <c r="H179" s="21">
        <v>2.6</v>
      </c>
      <c r="I179" s="18">
        <v>2.6</v>
      </c>
      <c r="J179" s="18">
        <v>2.6</v>
      </c>
      <c r="K179" s="18">
        <v>2.6</v>
      </c>
      <c r="L179" s="18">
        <v>2.6</v>
      </c>
      <c r="M179" s="18">
        <v>2.6</v>
      </c>
      <c r="N179" s="18">
        <v>2.6</v>
      </c>
      <c r="O179" s="18">
        <v>2.6</v>
      </c>
      <c r="P179" s="18">
        <v>2.6</v>
      </c>
      <c r="Q179" s="18">
        <v>2.6</v>
      </c>
      <c r="R179" s="18">
        <v>2.6</v>
      </c>
      <c r="S179" s="18">
        <v>2.6</v>
      </c>
      <c r="T179" s="18">
        <v>2.6</v>
      </c>
      <c r="U179" s="18">
        <v>2.6</v>
      </c>
      <c r="V179" s="18">
        <v>2.6</v>
      </c>
      <c r="W179" s="18">
        <v>2.6</v>
      </c>
      <c r="X179" s="18">
        <v>2.6</v>
      </c>
      <c r="Y179" s="18">
        <v>2.6</v>
      </c>
      <c r="Z179" s="18">
        <v>2.6</v>
      </c>
      <c r="AA179" s="18">
        <v>2.6</v>
      </c>
      <c r="AB179" s="18">
        <v>2.6</v>
      </c>
      <c r="AC179" s="18">
        <v>2.6</v>
      </c>
      <c r="AD179" s="18">
        <v>2.6</v>
      </c>
      <c r="AE179" s="18">
        <v>2.6</v>
      </c>
      <c r="AF179" s="18">
        <v>2.6</v>
      </c>
      <c r="AG179" s="18">
        <v>2.6</v>
      </c>
      <c r="AH179" s="18">
        <v>2.6</v>
      </c>
      <c r="AI179" s="18">
        <v>2.6</v>
      </c>
    </row>
    <row r="180" spans="1:35" ht="16" thickTop="1" thickBot="1">
      <c r="A180" s="61"/>
      <c r="C180" s="13" t="s">
        <v>11</v>
      </c>
      <c r="D180" s="55" t="s">
        <v>16</v>
      </c>
      <c r="E180" s="18">
        <v>2.59</v>
      </c>
      <c r="F180" s="21">
        <v>2.59</v>
      </c>
      <c r="G180" s="21">
        <v>2.59</v>
      </c>
      <c r="H180" s="21">
        <v>2.59</v>
      </c>
      <c r="I180" s="18">
        <v>2.59</v>
      </c>
      <c r="J180" s="18">
        <v>2.59</v>
      </c>
      <c r="K180" s="18">
        <v>2.59</v>
      </c>
      <c r="L180" s="18">
        <v>2.59</v>
      </c>
      <c r="M180" s="18">
        <v>2.59</v>
      </c>
      <c r="N180" s="18">
        <v>2.59</v>
      </c>
      <c r="O180" s="18">
        <v>2.59</v>
      </c>
      <c r="P180" s="18">
        <v>2.59</v>
      </c>
      <c r="Q180" s="18">
        <v>2.59</v>
      </c>
      <c r="R180" s="18">
        <v>2.59</v>
      </c>
      <c r="S180" s="18">
        <v>2.59</v>
      </c>
      <c r="T180" s="18">
        <v>2.59</v>
      </c>
      <c r="U180" s="18">
        <v>2.59</v>
      </c>
      <c r="V180" s="18">
        <v>2.59</v>
      </c>
      <c r="W180" s="18">
        <v>2.59</v>
      </c>
      <c r="X180" s="18">
        <v>2.59</v>
      </c>
      <c r="Y180" s="18">
        <v>2.59</v>
      </c>
      <c r="Z180" s="18">
        <v>2.59</v>
      </c>
      <c r="AA180" s="18">
        <v>2.59</v>
      </c>
      <c r="AB180" s="18">
        <v>2.59</v>
      </c>
      <c r="AC180" s="18">
        <v>2.59</v>
      </c>
      <c r="AD180" s="18">
        <v>2.59</v>
      </c>
      <c r="AE180" s="18">
        <v>2.59</v>
      </c>
      <c r="AF180" s="18">
        <v>2.59</v>
      </c>
      <c r="AG180" s="18">
        <v>2.59</v>
      </c>
      <c r="AH180" s="18">
        <v>2.59</v>
      </c>
      <c r="AI180" s="18">
        <v>2.59</v>
      </c>
    </row>
    <row r="181" spans="1:35" ht="16" thickTop="1" thickBot="1">
      <c r="A181" s="61"/>
      <c r="C181" s="13" t="s">
        <v>11</v>
      </c>
      <c r="D181" s="55" t="s">
        <v>41</v>
      </c>
      <c r="E181" s="56">
        <v>0</v>
      </c>
      <c r="F181" s="22">
        <v>0</v>
      </c>
      <c r="G181" s="22">
        <v>0</v>
      </c>
      <c r="H181" s="22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0</v>
      </c>
      <c r="AF181" s="18">
        <v>0</v>
      </c>
      <c r="AG181" s="18">
        <v>0</v>
      </c>
      <c r="AH181" s="18">
        <v>0</v>
      </c>
      <c r="AI181" s="18">
        <v>0</v>
      </c>
    </row>
    <row r="182" spans="1:35" ht="16" thickTop="1" thickBot="1">
      <c r="A182" s="57"/>
      <c r="C182" s="13" t="s">
        <v>11</v>
      </c>
      <c r="D182" s="55" t="s">
        <v>42</v>
      </c>
      <c r="E182" s="18">
        <v>0.58099999999999996</v>
      </c>
      <c r="F182" s="59">
        <v>0.58099999999999996</v>
      </c>
      <c r="G182" s="59">
        <v>0.58099999999999996</v>
      </c>
      <c r="H182" s="59">
        <v>0.58099999999999996</v>
      </c>
      <c r="I182" s="18">
        <v>0.58099999999999996</v>
      </c>
      <c r="J182" s="18">
        <v>0.5</v>
      </c>
      <c r="K182" s="18">
        <v>0.48287061441414919</v>
      </c>
      <c r="L182" s="18">
        <v>0.48287061441414919</v>
      </c>
      <c r="M182" s="18">
        <v>0.48287061441414919</v>
      </c>
      <c r="N182" s="18">
        <v>0.48287061441414919</v>
      </c>
      <c r="O182" s="18">
        <v>0.41</v>
      </c>
      <c r="P182" s="18">
        <v>0.37430166154062872</v>
      </c>
      <c r="Q182" s="18">
        <v>0.34171154593189118</v>
      </c>
      <c r="R182" s="18">
        <v>0.3119590229510335</v>
      </c>
      <c r="S182" s="18">
        <v>0.2847970259101536</v>
      </c>
      <c r="T182" s="18">
        <v>0.26</v>
      </c>
      <c r="U182" s="18">
        <v>0.22274857151282049</v>
      </c>
      <c r="V182" s="18">
        <v>0.19083433119616192</v>
      </c>
      <c r="W182" s="18">
        <v>0.16349259488288284</v>
      </c>
      <c r="X182" s="18">
        <v>0.14006823831956314</v>
      </c>
      <c r="Y182" s="18">
        <v>0.12</v>
      </c>
      <c r="Z182" s="18">
        <v>9.0942993990623888E-2</v>
      </c>
      <c r="AA182" s="18">
        <v>6.8921901299822105E-2</v>
      </c>
      <c r="AB182" s="18">
        <v>5.2233033797767454E-2</v>
      </c>
      <c r="AC182" s="18">
        <v>3.9585237323186834E-2</v>
      </c>
      <c r="AD182" s="18">
        <v>0.03</v>
      </c>
      <c r="AE182" s="18">
        <v>2.4E-2</v>
      </c>
      <c r="AF182" s="18">
        <v>1.9E-2</v>
      </c>
      <c r="AG182" s="18">
        <v>1.4999999999999999E-2</v>
      </c>
      <c r="AH182" s="18">
        <v>0</v>
      </c>
      <c r="AI182" s="18">
        <v>0</v>
      </c>
    </row>
    <row r="183" spans="1:35" ht="16" thickTop="1" thickBot="1">
      <c r="A183" s="57"/>
      <c r="C183" s="13" t="s">
        <v>11</v>
      </c>
      <c r="D183" s="55" t="s">
        <v>43</v>
      </c>
      <c r="E183" s="18">
        <v>0.11</v>
      </c>
      <c r="F183" s="21">
        <v>0.11</v>
      </c>
      <c r="G183" s="21">
        <v>0.11</v>
      </c>
      <c r="H183" s="21">
        <v>0.11</v>
      </c>
      <c r="I183" s="18">
        <v>0.11</v>
      </c>
      <c r="J183" s="18">
        <v>0.11</v>
      </c>
      <c r="K183" s="18">
        <v>0.11</v>
      </c>
      <c r="L183" s="18">
        <v>0.11</v>
      </c>
      <c r="M183" s="18">
        <v>0.11</v>
      </c>
      <c r="N183" s="18">
        <v>0.11</v>
      </c>
      <c r="O183" s="18">
        <v>0.11</v>
      </c>
      <c r="P183" s="18">
        <v>0.11</v>
      </c>
      <c r="Q183" s="18">
        <v>0.11</v>
      </c>
      <c r="R183" s="18">
        <v>0.11</v>
      </c>
      <c r="S183" s="18">
        <v>0.11</v>
      </c>
      <c r="T183" s="18">
        <v>0.11</v>
      </c>
      <c r="U183" s="18">
        <v>0.11</v>
      </c>
      <c r="V183" s="18">
        <v>0.11</v>
      </c>
      <c r="W183" s="18">
        <v>0.11</v>
      </c>
      <c r="X183" s="18">
        <v>0.11</v>
      </c>
      <c r="Y183" s="18">
        <v>0.11</v>
      </c>
      <c r="Z183" s="18">
        <v>0.11</v>
      </c>
      <c r="AA183" s="18">
        <v>0.11</v>
      </c>
      <c r="AB183" s="18">
        <v>0.11</v>
      </c>
      <c r="AC183" s="18">
        <v>0.11</v>
      </c>
      <c r="AD183" s="18">
        <v>0.11</v>
      </c>
      <c r="AE183" s="18">
        <v>0.11</v>
      </c>
      <c r="AF183" s="18">
        <v>0.11</v>
      </c>
      <c r="AG183" s="18">
        <v>0.11</v>
      </c>
      <c r="AH183" s="18">
        <v>0.11</v>
      </c>
      <c r="AI183" s="18">
        <v>0.11</v>
      </c>
    </row>
    <row r="184" spans="1:35" ht="16" thickTop="1" thickBot="1">
      <c r="A184" s="57"/>
      <c r="C184" s="13" t="s">
        <v>11</v>
      </c>
      <c r="D184" s="55" t="s">
        <v>20</v>
      </c>
      <c r="E184" s="18">
        <v>3.0927835051546393</v>
      </c>
      <c r="F184" s="21">
        <v>2.5704884983384377</v>
      </c>
      <c r="G184" s="21">
        <v>2.136396262162497</v>
      </c>
      <c r="H184" s="21">
        <v>1.7756115197294902</v>
      </c>
      <c r="I184" s="18">
        <v>1.4757544397708107</v>
      </c>
      <c r="J184" s="18">
        <v>1.2265358397962236</v>
      </c>
      <c r="K184" s="18">
        <v>1.0194041269753957</v>
      </c>
      <c r="L184" s="18">
        <v>0.8472518620141738</v>
      </c>
      <c r="M184" s="18">
        <v>0.70417187716938701</v>
      </c>
      <c r="N184" s="18">
        <v>0.58525457992792584</v>
      </c>
      <c r="O184" s="18">
        <v>0.48641948710516281</v>
      </c>
      <c r="P184" s="18">
        <v>0.40427520868745265</v>
      </c>
      <c r="Q184" s="18">
        <v>0.33600307695721154</v>
      </c>
      <c r="R184" s="18">
        <v>0.27926042779436405</v>
      </c>
      <c r="S184" s="18">
        <v>0.23210021538529668</v>
      </c>
      <c r="T184" s="18">
        <v>0.19290420202882863</v>
      </c>
      <c r="U184" s="18">
        <v>0.16032743053945686</v>
      </c>
      <c r="V184" s="18">
        <v>0.13325207389491125</v>
      </c>
      <c r="W184" s="18">
        <v>0.11074907854227153</v>
      </c>
      <c r="X184" s="18">
        <v>9.2046285205551526E-2</v>
      </c>
      <c r="Y184" s="18">
        <v>7.6501933304193401E-2</v>
      </c>
      <c r="Z184" s="18">
        <v>6.3582639823103637E-2</v>
      </c>
      <c r="AA184" s="18">
        <v>5.2845097009501636E-2</v>
      </c>
      <c r="AB184" s="18">
        <v>4.3920860878269283E-2</v>
      </c>
      <c r="AC184" s="18">
        <v>3.6503708564324146E-2</v>
      </c>
      <c r="AD184" s="18">
        <v>3.033913070698491E-2</v>
      </c>
      <c r="AE184" s="18">
        <v>2.5215598311978164E-2</v>
      </c>
      <c r="AF184" s="18">
        <v>2.0957304425490712E-2</v>
      </c>
      <c r="AG184" s="18">
        <v>1.7418131560814693E-2</v>
      </c>
      <c r="AH184" s="18">
        <v>1.447663787814377E-2</v>
      </c>
      <c r="AI184" s="18">
        <v>0.01</v>
      </c>
    </row>
    <row r="185" spans="1:35" ht="14.25" customHeight="1" thickTop="1">
      <c r="A185" s="61"/>
      <c r="F185" s="27"/>
      <c r="K185" s="27"/>
      <c r="P185" s="27"/>
      <c r="U185" s="27"/>
      <c r="Z185" s="27"/>
      <c r="AE185" s="27"/>
    </row>
    <row r="187" spans="1:35" ht="14">
      <c r="B187" s="62" t="s">
        <v>44</v>
      </c>
      <c r="E187" s="1">
        <v>2020</v>
      </c>
      <c r="F187" s="1">
        <v>2021</v>
      </c>
      <c r="G187" s="1">
        <v>2022</v>
      </c>
      <c r="H187" s="1">
        <v>2023</v>
      </c>
      <c r="I187" s="1">
        <v>2024</v>
      </c>
      <c r="J187" s="1">
        <v>2025</v>
      </c>
      <c r="K187" s="1">
        <v>2026</v>
      </c>
      <c r="L187" s="1">
        <v>2027</v>
      </c>
      <c r="M187" s="1">
        <v>2028</v>
      </c>
      <c r="N187" s="1">
        <v>2029</v>
      </c>
      <c r="O187" s="1">
        <v>2030</v>
      </c>
      <c r="P187" s="1">
        <v>2031</v>
      </c>
      <c r="Q187" s="1">
        <v>2032</v>
      </c>
      <c r="R187" s="1">
        <v>2033</v>
      </c>
      <c r="S187" s="1">
        <v>2034</v>
      </c>
      <c r="T187" s="1">
        <v>2035</v>
      </c>
      <c r="U187" s="1">
        <v>2036</v>
      </c>
      <c r="V187" s="1">
        <v>2037</v>
      </c>
      <c r="W187" s="1">
        <v>2038</v>
      </c>
      <c r="X187" s="1">
        <v>2039</v>
      </c>
      <c r="Y187" s="1">
        <v>2040</v>
      </c>
      <c r="Z187" s="1">
        <v>2041</v>
      </c>
      <c r="AA187" s="1">
        <v>2042</v>
      </c>
      <c r="AB187" s="1">
        <v>2043</v>
      </c>
      <c r="AC187" s="1">
        <v>2044</v>
      </c>
      <c r="AD187" s="1">
        <v>2045</v>
      </c>
      <c r="AE187" s="1">
        <v>2046</v>
      </c>
      <c r="AF187" s="1">
        <v>2047</v>
      </c>
      <c r="AG187" s="1">
        <v>2048</v>
      </c>
      <c r="AH187" s="1">
        <v>2049</v>
      </c>
      <c r="AI187" s="1">
        <v>2050</v>
      </c>
    </row>
    <row r="188" spans="1:35" ht="15" thickBot="1">
      <c r="A188" s="11"/>
      <c r="B188" s="12" t="s">
        <v>45</v>
      </c>
    </row>
    <row r="189" spans="1:35" ht="16" thickTop="1" thickBot="1">
      <c r="A189" s="63"/>
      <c r="C189" s="13" t="s">
        <v>5</v>
      </c>
      <c r="D189" s="64" t="s">
        <v>46</v>
      </c>
      <c r="E189" s="65">
        <v>1E-4</v>
      </c>
      <c r="F189" s="40">
        <v>1.01E-4</v>
      </c>
      <c r="G189" s="40">
        <v>1.0201000000000001E-4</v>
      </c>
      <c r="H189" s="40">
        <v>1.0303010000000001E-4</v>
      </c>
      <c r="I189" s="40">
        <v>1.0406040100000001E-4</v>
      </c>
      <c r="J189" s="40">
        <v>1.0510100501000002E-4</v>
      </c>
      <c r="K189" s="40">
        <v>1.0615201506010001E-4</v>
      </c>
      <c r="L189" s="40">
        <v>1.0721353521070101E-4</v>
      </c>
      <c r="M189" s="40">
        <v>1.0828567056280802E-4</v>
      </c>
      <c r="N189" s="40">
        <v>1.0936852726843611E-4</v>
      </c>
      <c r="O189" s="40">
        <v>1.1046221254112047E-4</v>
      </c>
      <c r="P189" s="40">
        <v>1.1156683466653167E-4</v>
      </c>
      <c r="Q189" s="40">
        <v>1.1268250301319699E-4</v>
      </c>
      <c r="R189" s="40">
        <v>1.1380932804332896E-4</v>
      </c>
      <c r="S189" s="40">
        <v>1.1494742132376225E-4</v>
      </c>
      <c r="T189" s="40">
        <v>1.1609689553699987E-4</v>
      </c>
      <c r="U189" s="40">
        <v>1.1725786449236987E-4</v>
      </c>
      <c r="V189" s="40">
        <v>1.1843044313729357E-4</v>
      </c>
      <c r="W189" s="40">
        <v>1.1961474756866651E-4</v>
      </c>
      <c r="X189" s="40">
        <v>1.2081089504435318E-4</v>
      </c>
      <c r="Y189" s="40">
        <v>1.2201900399479672E-4</v>
      </c>
      <c r="Z189" s="40">
        <v>1.2323919403474468E-4</v>
      </c>
      <c r="AA189" s="40">
        <v>1.2447158597509212E-4</v>
      </c>
      <c r="AB189" s="40">
        <v>1.2571630183484304E-4</v>
      </c>
      <c r="AC189" s="40">
        <v>1.2697346485319145E-4</v>
      </c>
      <c r="AD189" s="40">
        <v>5.0000000000000001E-4</v>
      </c>
      <c r="AE189" s="40">
        <v>1.55E-2</v>
      </c>
      <c r="AF189" s="40">
        <v>3.0499999999999999E-2</v>
      </c>
      <c r="AG189" s="40">
        <v>4.5499999999999999E-2</v>
      </c>
      <c r="AH189" s="40">
        <v>6.0499999999999998E-2</v>
      </c>
      <c r="AI189" s="40">
        <v>7.8E-2</v>
      </c>
    </row>
    <row r="190" spans="1:35" ht="16" thickTop="1" thickBot="1">
      <c r="A190" s="63"/>
      <c r="C190" s="13" t="s">
        <v>5</v>
      </c>
      <c r="D190" s="64" t="s">
        <v>47</v>
      </c>
      <c r="E190" s="21">
        <v>9.49772164</v>
      </c>
      <c r="F190" s="21">
        <v>9.4967718678360011</v>
      </c>
      <c r="G190" s="21">
        <v>9.4958221933790039</v>
      </c>
      <c r="H190" s="21">
        <v>9.4948693428186424</v>
      </c>
      <c r="I190" s="21">
        <v>9.4939237544032231</v>
      </c>
      <c r="J190" s="21">
        <v>9.4929753932788454</v>
      </c>
      <c r="K190" s="21">
        <v>9.4920244860503598</v>
      </c>
      <c r="L190" s="21">
        <v>9.4910749966983339</v>
      </c>
      <c r="M190" s="21">
        <v>9.4901261210166279</v>
      </c>
      <c r="N190" s="21">
        <v>9.4891769230467471</v>
      </c>
      <c r="O190" s="21">
        <v>9.488228300951322</v>
      </c>
      <c r="P190" s="21">
        <v>9.487279099954284</v>
      </c>
      <c r="Q190" s="21">
        <v>9.4863310354287211</v>
      </c>
      <c r="R190" s="21">
        <v>9.4853817323069016</v>
      </c>
      <c r="S190" s="21">
        <v>9.4844337478124103</v>
      </c>
      <c r="T190" s="21">
        <v>9.483485501198647</v>
      </c>
      <c r="U190" s="21">
        <v>9.5391245199605965</v>
      </c>
      <c r="V190" s="21">
        <v>9.5950899693801794</v>
      </c>
      <c r="W190" s="21">
        <v>9.6513837646057308</v>
      </c>
      <c r="X190" s="21">
        <v>9.7080078320216394</v>
      </c>
      <c r="Y190" s="21">
        <v>9.7649641093142812</v>
      </c>
      <c r="Z190" s="21">
        <v>9.8222545455383106</v>
      </c>
      <c r="AA190" s="21">
        <v>9.8798811011833614</v>
      </c>
      <c r="AB190" s="21">
        <v>9.9378457482411431</v>
      </c>
      <c r="AC190" s="21">
        <v>9.9961504702729158</v>
      </c>
      <c r="AD190" s="21">
        <v>39.202068029900701</v>
      </c>
      <c r="AE190" s="21">
        <v>1210.2910769920313</v>
      </c>
      <c r="AF190" s="21">
        <v>2371.7949070860736</v>
      </c>
      <c r="AG190" s="21">
        <v>3523.7723955085658</v>
      </c>
      <c r="AH190" s="21">
        <v>4666.2820584255878</v>
      </c>
      <c r="AI190" s="21">
        <v>5966.8968996000003</v>
      </c>
    </row>
    <row r="191" spans="1:35" ht="16" thickTop="1" thickBot="1">
      <c r="A191" s="63"/>
    </row>
    <row r="192" spans="1:35" ht="16" thickTop="1" thickBot="1">
      <c r="A192" s="63"/>
      <c r="C192" s="13" t="s">
        <v>9</v>
      </c>
      <c r="D192" s="64" t="s">
        <v>46</v>
      </c>
      <c r="E192" s="65">
        <v>1E-4</v>
      </c>
      <c r="F192" s="40">
        <v>1.2406465268703166E-4</v>
      </c>
      <c r="G192" s="40">
        <v>1.5392038046353789E-4</v>
      </c>
      <c r="H192" s="40">
        <v>1.9096078543664598E-4</v>
      </c>
      <c r="I192" s="40">
        <v>2.3691483522040254E-4</v>
      </c>
      <c r="J192" s="40">
        <v>2.9392756748024572E-4</v>
      </c>
      <c r="K192" s="40">
        <v>3.6466021574580739E-4</v>
      </c>
      <c r="L192" s="40">
        <v>4.5241443015281619E-4</v>
      </c>
      <c r="M192" s="40">
        <v>5.6128639147510475E-4</v>
      </c>
      <c r="N192" s="40">
        <v>6.9635801216316143E-4</v>
      </c>
      <c r="O192" s="40">
        <v>8.6393414924854377E-4</v>
      </c>
      <c r="P192" s="40">
        <v>1.0718369017098674E-3</v>
      </c>
      <c r="Q192" s="40">
        <v>1.3297707294777877E-3</v>
      </c>
      <c r="R192" s="40">
        <v>1.6497754370604243E-3</v>
      </c>
      <c r="S192" s="40">
        <v>2.0467881661049739E-3</v>
      </c>
      <c r="T192" s="40">
        <v>2.5393406295174002E-3</v>
      </c>
      <c r="U192" s="40">
        <v>3.1504241325514453E-3</v>
      </c>
      <c r="V192" s="40">
        <v>3.9085627582183795E-3</v>
      </c>
      <c r="W192" s="40">
        <v>4.849144811038297E-3</v>
      </c>
      <c r="X192" s="40">
        <v>6.0160746681058802E-3</v>
      </c>
      <c r="Y192" s="40">
        <v>7.4638221423780514E-3</v>
      </c>
      <c r="Z192" s="40">
        <v>9.2599650181190932E-3</v>
      </c>
      <c r="AA192" s="40">
        <v>1.1488343438670079E-2</v>
      </c>
      <c r="AB192" s="40">
        <v>1.4252973386679421E-2</v>
      </c>
      <c r="AC192" s="40">
        <v>1.7682901929758875E-2</v>
      </c>
      <c r="AD192" s="40">
        <v>2.1938230864143763E-2</v>
      </c>
      <c r="AE192" s="40">
        <v>2.7217589927279139E-2</v>
      </c>
      <c r="AF192" s="40">
        <v>3.376740841305937E-2</v>
      </c>
      <c r="AG192" s="40">
        <v>4.1893417969073608E-2</v>
      </c>
      <c r="AH192" s="40">
        <v>5.1974923502057679E-2</v>
      </c>
      <c r="AI192" s="40">
        <v>0.08</v>
      </c>
    </row>
    <row r="193" spans="1:35" ht="16" thickTop="1" thickBot="1">
      <c r="A193" s="63"/>
      <c r="C193" s="13" t="s">
        <v>9</v>
      </c>
      <c r="D193" s="64" t="s">
        <v>47</v>
      </c>
      <c r="E193" s="21">
        <v>9.49772164</v>
      </c>
      <c r="F193" s="21">
        <v>11.653698896822728</v>
      </c>
      <c r="G193" s="21">
        <v>14.299081729858663</v>
      </c>
      <c r="H193" s="21">
        <v>17.544964918642524</v>
      </c>
      <c r="I193" s="21">
        <v>21.527661692681264</v>
      </c>
      <c r="J193" s="21">
        <v>26.414428304846858</v>
      </c>
      <c r="K193" s="21">
        <v>32.41048807958083</v>
      </c>
      <c r="L193" s="21">
        <v>39.767649915932601</v>
      </c>
      <c r="M193" s="21">
        <v>48.794883185746443</v>
      </c>
      <c r="N193" s="21">
        <v>59.871293127551297</v>
      </c>
      <c r="O193" s="21">
        <v>73.462041647273907</v>
      </c>
      <c r="P193" s="21">
        <v>90.137882131401497</v>
      </c>
      <c r="Q193" s="21">
        <v>110.59912865130576</v>
      </c>
      <c r="R193" s="21">
        <v>135.7050661629284</v>
      </c>
      <c r="S193" s="21">
        <v>166.51003680459243</v>
      </c>
      <c r="T193" s="21">
        <v>204.30771776330886</v>
      </c>
      <c r="U193" s="21">
        <v>250.68545019083561</v>
      </c>
      <c r="V193" s="21">
        <v>307.59090075190386</v>
      </c>
      <c r="W193" s="21">
        <v>377.41385530489936</v>
      </c>
      <c r="X193" s="21">
        <v>463.08657970021528</v>
      </c>
      <c r="Y193" s="21">
        <v>568.2069624211274</v>
      </c>
      <c r="Z193" s="21">
        <v>697.18961053211967</v>
      </c>
      <c r="AA193" s="21">
        <v>855.45124431909858</v>
      </c>
      <c r="AB193" s="21">
        <v>1049.638176404495</v>
      </c>
      <c r="AC193" s="21">
        <v>1287.9054284884351</v>
      </c>
      <c r="AD193" s="21">
        <v>1580.259207426896</v>
      </c>
      <c r="AE193" s="21">
        <v>1938.9771231792779</v>
      </c>
      <c r="AF193" s="21">
        <v>2379.1237959842815</v>
      </c>
      <c r="AG193" s="21">
        <v>2919.1835060631156</v>
      </c>
      <c r="AH193" s="21">
        <v>3581.8364544352794</v>
      </c>
      <c r="AI193" s="21">
        <v>5452.531358967748</v>
      </c>
    </row>
    <row r="194" spans="1:35" ht="16" thickTop="1" thickBot="1">
      <c r="A194" s="63"/>
    </row>
    <row r="195" spans="1:35" ht="16" thickTop="1" thickBot="1">
      <c r="A195" s="63"/>
      <c r="C195" s="13" t="s">
        <v>11</v>
      </c>
      <c r="D195" s="64" t="s">
        <v>46</v>
      </c>
      <c r="E195" s="65">
        <v>1E-4</v>
      </c>
      <c r="F195" s="40">
        <v>1.277864597917067E-4</v>
      </c>
      <c r="G195" s="40">
        <v>1.6329379306097476E-4</v>
      </c>
      <c r="H195" s="40">
        <v>2.0866735721221526E-4</v>
      </c>
      <c r="I195" s="40">
        <v>2.6664862852240445E-4</v>
      </c>
      <c r="J195" s="40">
        <v>3.4074084247191972E-4</v>
      </c>
      <c r="K195" s="40">
        <v>4.3542065965930239E-4</v>
      </c>
      <c r="L195" s="40">
        <v>5.5640864618031855E-4</v>
      </c>
      <c r="M195" s="40">
        <v>7.110149109287924E-4</v>
      </c>
      <c r="N195" s="40">
        <v>9.0858078326706056E-4</v>
      </c>
      <c r="O195" s="40">
        <v>1.1610432172847363E-3</v>
      </c>
      <c r="P195" s="40">
        <v>1.4836560240198975E-3</v>
      </c>
      <c r="Q195" s="40">
        <v>1.8959115085814208E-3</v>
      </c>
      <c r="R195" s="40">
        <v>2.4227181975997373E-3</v>
      </c>
      <c r="S195" s="40">
        <v>3.0959058154421499E-3</v>
      </c>
      <c r="T195" s="40">
        <v>3.9561484400390924E-3</v>
      </c>
      <c r="U195" s="40">
        <v>5.0554220356307869E-3</v>
      </c>
      <c r="V195" s="40">
        <v>6.4601448468624163E-3</v>
      </c>
      <c r="W195" s="40">
        <v>8.2551903972218552E-3</v>
      </c>
      <c r="X195" s="40">
        <v>1.054901555767474E-2</v>
      </c>
      <c r="Y195" s="40">
        <v>1.3480213524028917E-2</v>
      </c>
      <c r="Z195" s="40">
        <v>1.7225887634719422E-2</v>
      </c>
      <c r="AA195" s="40">
        <v>2.2012351976105311E-2</v>
      </c>
      <c r="AB195" s="40">
        <v>2.812880530715477E-2</v>
      </c>
      <c r="AC195" s="40">
        <v>3.5944804483714794E-2</v>
      </c>
      <c r="AD195" s="40">
        <v>4.5932593128789792E-2</v>
      </c>
      <c r="AE195" s="40">
        <v>5.8695634649809203E-2</v>
      </c>
      <c r="AF195" s="40">
        <v>7.5005073571265513E-2</v>
      </c>
      <c r="AG195" s="40">
        <v>9.5846328180885232E-2</v>
      </c>
      <c r="AH195" s="40">
        <v>0.12247862962269417</v>
      </c>
      <c r="AI195" s="40">
        <v>0.2</v>
      </c>
    </row>
    <row r="196" spans="1:35" ht="16" thickTop="1" thickBot="1">
      <c r="A196" s="63"/>
      <c r="C196" s="13" t="s">
        <v>11</v>
      </c>
      <c r="D196" s="64" t="s">
        <v>47</v>
      </c>
      <c r="E196" s="21">
        <v>9.49772164</v>
      </c>
      <c r="F196" s="21">
        <v>11.971741734099902</v>
      </c>
      <c r="G196" s="21">
        <v>15.090208534263734</v>
      </c>
      <c r="H196" s="21">
        <v>19.020991152770367</v>
      </c>
      <c r="I196" s="21">
        <v>23.975686194943698</v>
      </c>
      <c r="J196" s="21">
        <v>30.22100814313719</v>
      </c>
      <c r="K196" s="21">
        <v>38.093146772173512</v>
      </c>
      <c r="L196" s="21">
        <v>48.015864465324825</v>
      </c>
      <c r="M196" s="21">
        <v>60.523307621217441</v>
      </c>
      <c r="N196" s="21">
        <v>76.288760104649214</v>
      </c>
      <c r="O196" s="21">
        <v>96.160886558427791</v>
      </c>
      <c r="P196" s="21">
        <v>121.20941657746629</v>
      </c>
      <c r="Q196" s="21">
        <v>152.78272895417828</v>
      </c>
      <c r="R196" s="21">
        <v>192.58043579285291</v>
      </c>
      <c r="S196" s="21">
        <v>242.74487374347225</v>
      </c>
      <c r="T196" s="21">
        <v>305.97642738806758</v>
      </c>
      <c r="U196" s="21">
        <v>385.67889271310725</v>
      </c>
      <c r="V196" s="21">
        <v>486.14270567893215</v>
      </c>
      <c r="W196" s="21">
        <v>612.77589920025468</v>
      </c>
      <c r="X196" s="21">
        <v>772.39522110339351</v>
      </c>
      <c r="Y196" s="21">
        <v>973.59308413073461</v>
      </c>
      <c r="Z196" s="21">
        <v>1227.2001011517277</v>
      </c>
      <c r="AA196" s="21">
        <v>1546.8681041540569</v>
      </c>
      <c r="AB196" s="21">
        <v>1949.8050313095005</v>
      </c>
      <c r="AC196" s="21">
        <v>2457.701241567016</v>
      </c>
      <c r="AD196" s="21">
        <v>3097.8971208948788</v>
      </c>
      <c r="AE196" s="21">
        <v>3904.8548331813558</v>
      </c>
      <c r="AF196" s="21">
        <v>4922.0134411097515</v>
      </c>
      <c r="AG196" s="21">
        <v>6204.1272593807334</v>
      </c>
      <c r="AH196" s="21">
        <v>7820.2133153688847</v>
      </c>
      <c r="AI196" s="21">
        <v>12596.25199603076</v>
      </c>
    </row>
    <row r="197" spans="1:35" ht="14.25" customHeight="1" thickTop="1">
      <c r="Z197" s="27">
        <f>(AI195/Y195)^(1/11)-1</f>
        <v>0.27786459791706708</v>
      </c>
    </row>
    <row r="198" spans="1:35" ht="14.25" customHeight="1">
      <c r="B198" s="62" t="s">
        <v>48</v>
      </c>
      <c r="E198" s="66">
        <v>2020</v>
      </c>
      <c r="F198" s="66">
        <v>2021</v>
      </c>
      <c r="G198" s="66">
        <v>2022</v>
      </c>
      <c r="H198" s="66">
        <v>2023</v>
      </c>
      <c r="I198" s="66">
        <v>2024</v>
      </c>
      <c r="J198" s="66">
        <v>2025</v>
      </c>
      <c r="K198" s="66">
        <v>2026</v>
      </c>
      <c r="L198" s="66">
        <v>2027</v>
      </c>
      <c r="M198" s="66">
        <v>2028</v>
      </c>
      <c r="N198" s="66">
        <v>2029</v>
      </c>
      <c r="O198" s="66">
        <v>2030</v>
      </c>
      <c r="P198" s="66">
        <v>2031</v>
      </c>
      <c r="Q198" s="66">
        <v>2032</v>
      </c>
      <c r="R198" s="66">
        <v>2033</v>
      </c>
      <c r="S198" s="66">
        <v>2034</v>
      </c>
      <c r="T198" s="66">
        <v>2035</v>
      </c>
      <c r="U198" s="66">
        <v>2036</v>
      </c>
      <c r="V198" s="66">
        <v>2037</v>
      </c>
      <c r="W198" s="66">
        <v>2038</v>
      </c>
      <c r="X198" s="66">
        <v>2039</v>
      </c>
      <c r="Y198" s="66">
        <v>2040</v>
      </c>
      <c r="Z198" s="66">
        <v>2041</v>
      </c>
      <c r="AA198" s="66">
        <v>2042</v>
      </c>
      <c r="AB198" s="66">
        <v>2043</v>
      </c>
      <c r="AC198" s="66">
        <v>2044</v>
      </c>
      <c r="AD198" s="66">
        <v>2045</v>
      </c>
      <c r="AE198" s="66">
        <v>2046</v>
      </c>
      <c r="AF198" s="66">
        <v>2047</v>
      </c>
      <c r="AG198" s="66">
        <v>2048</v>
      </c>
      <c r="AH198" s="66">
        <v>2049</v>
      </c>
      <c r="AI198" s="66">
        <v>2050</v>
      </c>
    </row>
    <row r="199" spans="1:35" ht="14.25" customHeight="1" thickBot="1">
      <c r="A199" s="11"/>
      <c r="B199" s="12" t="s">
        <v>49</v>
      </c>
    </row>
    <row r="200" spans="1:35" ht="14.25" customHeight="1" thickTop="1" thickBot="1">
      <c r="A200" s="63"/>
      <c r="C200" s="13" t="s">
        <v>5</v>
      </c>
      <c r="D200" s="8" t="s">
        <v>50</v>
      </c>
      <c r="E200" s="67">
        <v>1000</v>
      </c>
      <c r="F200" s="67">
        <v>1000</v>
      </c>
      <c r="G200" s="67">
        <v>1000</v>
      </c>
      <c r="H200" s="67">
        <v>1000</v>
      </c>
      <c r="I200" s="67">
        <v>1000</v>
      </c>
      <c r="J200" s="67">
        <v>1000</v>
      </c>
      <c r="K200" s="67">
        <v>1000</v>
      </c>
      <c r="L200" s="67">
        <v>1000</v>
      </c>
      <c r="M200" s="67">
        <v>1000</v>
      </c>
      <c r="N200" s="67">
        <v>1000</v>
      </c>
      <c r="O200" s="67">
        <v>1000</v>
      </c>
      <c r="P200" s="67">
        <v>1000</v>
      </c>
      <c r="Q200" s="67">
        <v>1000</v>
      </c>
      <c r="R200" s="67">
        <v>1000</v>
      </c>
      <c r="S200" s="67">
        <v>1000</v>
      </c>
      <c r="T200" s="67">
        <v>1000</v>
      </c>
      <c r="U200" s="67">
        <v>1000</v>
      </c>
      <c r="V200" s="67">
        <v>1000</v>
      </c>
      <c r="W200" s="67">
        <v>1000</v>
      </c>
      <c r="X200" s="67">
        <v>1000</v>
      </c>
      <c r="Y200" s="67">
        <v>1000</v>
      </c>
      <c r="Z200" s="67">
        <v>1000</v>
      </c>
      <c r="AA200" s="67">
        <v>1000</v>
      </c>
      <c r="AB200" s="67">
        <v>1000</v>
      </c>
      <c r="AC200" s="67">
        <v>1000</v>
      </c>
      <c r="AD200" s="67">
        <v>1000</v>
      </c>
      <c r="AE200" s="67">
        <v>1000</v>
      </c>
      <c r="AF200" s="67">
        <v>1000</v>
      </c>
      <c r="AG200" s="67">
        <v>1000</v>
      </c>
      <c r="AH200" s="67">
        <v>1000</v>
      </c>
      <c r="AI200" s="68">
        <v>1000</v>
      </c>
    </row>
    <row r="201" spans="1:35" ht="14.25" customHeight="1" thickTop="1" thickBot="1">
      <c r="C201" s="13" t="s">
        <v>5</v>
      </c>
      <c r="D201" s="8" t="s">
        <v>51</v>
      </c>
      <c r="E201" s="68">
        <v>50</v>
      </c>
      <c r="F201" s="68">
        <v>49.182838884917523</v>
      </c>
      <c r="G201" s="68">
        <v>48.379032815595103</v>
      </c>
      <c r="H201" s="68">
        <v>47.588363527551031</v>
      </c>
      <c r="I201" s="68">
        <v>46.810616323448556</v>
      </c>
      <c r="J201" s="68">
        <v>46.04558001479721</v>
      </c>
      <c r="K201" s="68">
        <v>45.293046864606985</v>
      </c>
      <c r="L201" s="68">
        <v>44.552812530979686</v>
      </c>
      <c r="M201" s="68">
        <v>43.824676011622167</v>
      </c>
      <c r="N201" s="68">
        <v>43.10843958926646</v>
      </c>
      <c r="O201" s="68">
        <v>42.403908777981847</v>
      </c>
      <c r="P201" s="68">
        <v>41.710892270364425</v>
      </c>
      <c r="Q201" s="68">
        <v>41.029201885589707</v>
      </c>
      <c r="R201" s="68">
        <v>40.358652518314258</v>
      </c>
      <c r="S201" s="68">
        <v>39.699062088412418</v>
      </c>
      <c r="T201" s="68">
        <v>39.05025149153451</v>
      </c>
      <c r="U201" s="68">
        <v>38.412044550473041</v>
      </c>
      <c r="V201" s="68">
        <v>37.784267967323792</v>
      </c>
      <c r="W201" s="68">
        <v>37.166751276428727</v>
      </c>
      <c r="X201" s="68">
        <v>36.559326798087938</v>
      </c>
      <c r="Y201" s="68">
        <v>35.961829593028135</v>
      </c>
      <c r="Z201" s="68">
        <v>35.374097417615239</v>
      </c>
      <c r="AA201" s="68">
        <v>34.795970679798948</v>
      </c>
      <c r="AB201" s="68">
        <v>34.227292395777312</v>
      </c>
      <c r="AC201" s="68">
        <v>33.667908147369566</v>
      </c>
      <c r="AD201" s="68">
        <v>33.117666040085588</v>
      </c>
      <c r="AE201" s="68">
        <v>32.576416661880678</v>
      </c>
      <c r="AF201" s="68">
        <v>32.044013042584403</v>
      </c>
      <c r="AG201" s="68">
        <v>31.520310613992489</v>
      </c>
      <c r="AH201" s="68">
        <v>31.005167170610967</v>
      </c>
      <c r="AI201" s="68">
        <v>30</v>
      </c>
    </row>
    <row r="202" spans="1:35" ht="14.25" customHeight="1" thickTop="1" thickBot="1">
      <c r="C202" s="13" t="s">
        <v>5</v>
      </c>
      <c r="D202" s="8" t="s">
        <v>52</v>
      </c>
      <c r="E202" s="68">
        <v>20</v>
      </c>
      <c r="F202" s="68">
        <v>19.557770726708654</v>
      </c>
      <c r="G202" s="68">
        <v>19.125319789925097</v>
      </c>
      <c r="H202" s="68">
        <v>18.70243097631694</v>
      </c>
      <c r="I202" s="68">
        <v>18.288892853345029</v>
      </c>
      <c r="J202" s="68">
        <v>17.884498663553128</v>
      </c>
      <c r="K202" s="68">
        <v>17.489046221194972</v>
      </c>
      <c r="L202" s="68">
        <v>17.102337811147081</v>
      </c>
      <c r="M202" s="68">
        <v>16.724180090056748</v>
      </c>
      <c r="N202" s="68">
        <v>16.354383989675778</v>
      </c>
      <c r="O202" s="68">
        <v>15.992764622331681</v>
      </c>
      <c r="P202" s="68">
        <v>15.639141188489017</v>
      </c>
      <c r="Q202" s="68">
        <v>15.293336886354703</v>
      </c>
      <c r="R202" s="68">
        <v>14.955178823482084</v>
      </c>
      <c r="S202" s="68">
        <v>14.624497930329554</v>
      </c>
      <c r="T202" s="68">
        <v>14.301128875730532</v>
      </c>
      <c r="U202" s="68">
        <v>13.984909984232523</v>
      </c>
      <c r="V202" s="68">
        <v>13.675683155263922</v>
      </c>
      <c r="W202" s="68">
        <v>13.373293784088169</v>
      </c>
      <c r="X202" s="68">
        <v>13.07759068450572</v>
      </c>
      <c r="Y202" s="68">
        <v>12.788426013265189</v>
      </c>
      <c r="Z202" s="68">
        <v>12.505655196145868</v>
      </c>
      <c r="AA202" s="68">
        <v>12.229136855674682</v>
      </c>
      <c r="AB202" s="68">
        <v>11.958732740441411</v>
      </c>
      <c r="AC202" s="68">
        <v>11.694307655976869</v>
      </c>
      <c r="AD202" s="68">
        <v>11.435729397159466</v>
      </c>
      <c r="AE202" s="68">
        <v>11.18286868211635</v>
      </c>
      <c r="AF202" s="68">
        <v>10.935599087586107</v>
      </c>
      <c r="AG202" s="68">
        <v>10.693796985710671</v>
      </c>
      <c r="AH202" s="68">
        <v>10.457341482224871</v>
      </c>
      <c r="AI202" s="68">
        <v>10.226114356012683</v>
      </c>
    </row>
    <row r="203" spans="1:35" ht="14.25" customHeight="1" thickTop="1" thickBot="1">
      <c r="C203" s="13" t="s">
        <v>5</v>
      </c>
      <c r="D203" s="8" t="s">
        <v>53</v>
      </c>
      <c r="E203" s="21">
        <v>2300</v>
      </c>
      <c r="F203" s="21">
        <v>2300</v>
      </c>
      <c r="G203" s="21">
        <v>2300</v>
      </c>
      <c r="H203" s="21">
        <v>2300</v>
      </c>
      <c r="I203" s="21">
        <v>2300</v>
      </c>
      <c r="J203" s="21">
        <v>2300</v>
      </c>
      <c r="K203" s="21">
        <v>2300</v>
      </c>
      <c r="L203" s="21">
        <v>2300</v>
      </c>
      <c r="M203" s="21">
        <v>2300</v>
      </c>
      <c r="N203" s="21">
        <v>2300</v>
      </c>
      <c r="O203" s="21">
        <v>2300</v>
      </c>
      <c r="P203" s="21">
        <v>2300</v>
      </c>
      <c r="Q203" s="21">
        <v>2300</v>
      </c>
      <c r="R203" s="21">
        <v>2300</v>
      </c>
      <c r="S203" s="21">
        <v>2300</v>
      </c>
      <c r="T203" s="21">
        <v>2300</v>
      </c>
      <c r="U203" s="21">
        <v>2300</v>
      </c>
      <c r="V203" s="21">
        <v>2300</v>
      </c>
      <c r="W203" s="21">
        <v>2300</v>
      </c>
      <c r="X203" s="21">
        <v>2300</v>
      </c>
      <c r="Y203" s="21">
        <v>2300</v>
      </c>
      <c r="Z203" s="21">
        <v>2300</v>
      </c>
      <c r="AA203" s="21">
        <v>2300</v>
      </c>
      <c r="AB203" s="21">
        <v>2300</v>
      </c>
      <c r="AC203" s="21">
        <v>2300</v>
      </c>
      <c r="AD203" s="21">
        <v>2300</v>
      </c>
      <c r="AE203" s="21">
        <v>2300</v>
      </c>
      <c r="AF203" s="21">
        <v>2300</v>
      </c>
      <c r="AG203" s="21">
        <v>2300</v>
      </c>
      <c r="AH203" s="21">
        <v>2300</v>
      </c>
      <c r="AI203" s="21">
        <v>2300</v>
      </c>
    </row>
    <row r="204" spans="1:35" ht="14.25" customHeight="1" thickTop="1" thickBot="1">
      <c r="C204" s="13" t="s">
        <v>5</v>
      </c>
      <c r="D204" s="8" t="s">
        <v>54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</row>
    <row r="205" spans="1:35" ht="14.25" customHeight="1" thickTop="1" thickBot="1">
      <c r="C205" s="69"/>
      <c r="I205" s="54"/>
    </row>
    <row r="206" spans="1:35" ht="14.25" customHeight="1" thickTop="1" thickBot="1">
      <c r="C206" s="13" t="s">
        <v>9</v>
      </c>
      <c r="D206" s="8" t="s">
        <v>50</v>
      </c>
      <c r="E206" s="26">
        <v>1000</v>
      </c>
      <c r="F206" s="26">
        <v>1000</v>
      </c>
      <c r="G206" s="26">
        <v>1000</v>
      </c>
      <c r="H206" s="26">
        <v>1000</v>
      </c>
      <c r="I206" s="26">
        <v>1000</v>
      </c>
      <c r="J206" s="26">
        <v>1000</v>
      </c>
      <c r="K206" s="26">
        <v>1000</v>
      </c>
      <c r="L206" s="26">
        <v>1000</v>
      </c>
      <c r="M206" s="26">
        <v>1000</v>
      </c>
      <c r="N206" s="26">
        <v>1000</v>
      </c>
      <c r="O206" s="26">
        <v>1000</v>
      </c>
      <c r="P206" s="26">
        <v>1000</v>
      </c>
      <c r="Q206" s="26">
        <v>1000</v>
      </c>
      <c r="R206" s="26">
        <v>1000</v>
      </c>
      <c r="S206" s="26">
        <v>1000</v>
      </c>
      <c r="T206" s="26">
        <v>1000</v>
      </c>
      <c r="U206" s="26">
        <v>1000</v>
      </c>
      <c r="V206" s="26">
        <v>1000</v>
      </c>
      <c r="W206" s="26">
        <v>1000</v>
      </c>
      <c r="X206" s="26">
        <v>1000</v>
      </c>
      <c r="Y206" s="26">
        <v>1000</v>
      </c>
      <c r="Z206" s="26">
        <v>1000</v>
      </c>
      <c r="AA206" s="26">
        <v>1000</v>
      </c>
      <c r="AB206" s="26">
        <v>1000</v>
      </c>
      <c r="AC206" s="26">
        <v>1000</v>
      </c>
      <c r="AD206" s="26">
        <v>1000</v>
      </c>
      <c r="AE206" s="26">
        <v>1000</v>
      </c>
      <c r="AF206" s="26">
        <v>1000</v>
      </c>
      <c r="AG206" s="26">
        <v>1000</v>
      </c>
      <c r="AH206" s="26">
        <v>1000</v>
      </c>
      <c r="AI206" s="26">
        <v>1000</v>
      </c>
    </row>
    <row r="207" spans="1:35" ht="14.25" customHeight="1" thickTop="1" thickBot="1">
      <c r="C207" s="13" t="s">
        <v>9</v>
      </c>
      <c r="D207" s="8" t="s">
        <v>51</v>
      </c>
      <c r="E207" s="26">
        <v>50</v>
      </c>
      <c r="F207" s="26">
        <v>46.420727225973721</v>
      </c>
      <c r="G207" s="26">
        <v>43.097678323765152</v>
      </c>
      <c r="H207" s="26">
        <v>40.012511390805244</v>
      </c>
      <c r="I207" s="26">
        <v>37.148197537974731</v>
      </c>
      <c r="J207" s="26">
        <v>34.488926896938267</v>
      </c>
      <c r="K207" s="26">
        <v>32.020021355986387</v>
      </c>
      <c r="L207" s="26">
        <v>29.727853542721942</v>
      </c>
      <c r="M207" s="26">
        <v>27.599771606407835</v>
      </c>
      <c r="N207" s="26">
        <v>25.624029384804651</v>
      </c>
      <c r="O207" s="26">
        <v>23.789721570047035</v>
      </c>
      <c r="P207" s="26">
        <v>22.086723515700331</v>
      </c>
      <c r="Q207" s="26">
        <v>20.505635352756485</v>
      </c>
      <c r="R207" s="26">
        <v>19.037730106111844</v>
      </c>
      <c r="S207" s="26">
        <v>17.674905525150514</v>
      </c>
      <c r="T207" s="26">
        <v>16.409639362557357</v>
      </c>
      <c r="U207" s="26">
        <v>15.234947854517525</v>
      </c>
      <c r="V207" s="26">
        <v>14.144347173129832</v>
      </c>
      <c r="W207" s="26">
        <v>13.131817638266648</v>
      </c>
      <c r="X207" s="26">
        <v>12.19177049134413</v>
      </c>
      <c r="Y207" s="26">
        <v>11.319017047607229</v>
      </c>
      <c r="Z207" s="26">
        <v>10.508740056662431</v>
      </c>
      <c r="AA207" s="26">
        <v>9.7564671131798058</v>
      </c>
      <c r="AB207" s="26">
        <v>9.0580459710020609</v>
      </c>
      <c r="AC207" s="26">
        <v>8.4096216244043376</v>
      </c>
      <c r="AD207" s="26">
        <v>7.8076150300024754</v>
      </c>
      <c r="AE207" s="26">
        <v>7.2487033518631501</v>
      </c>
      <c r="AF207" s="26">
        <v>6.7298016207768132</v>
      </c>
      <c r="AG207" s="26">
        <v>6.2480457064599255</v>
      </c>
      <c r="AH207" s="26">
        <v>5.8007765086998493</v>
      </c>
      <c r="AI207" s="26">
        <v>5</v>
      </c>
    </row>
    <row r="208" spans="1:35" ht="14.25" customHeight="1" thickTop="1" thickBot="1">
      <c r="C208" s="13" t="s">
        <v>9</v>
      </c>
      <c r="D208" s="8" t="s">
        <v>52</v>
      </c>
      <c r="E208" s="26">
        <v>20</v>
      </c>
      <c r="F208" s="26">
        <v>19.125319789925101</v>
      </c>
      <c r="G208" s="26">
        <v>18.288892853345033</v>
      </c>
      <c r="H208" s="26">
        <v>17.489046221194972</v>
      </c>
      <c r="I208" s="26">
        <v>16.724180090056748</v>
      </c>
      <c r="J208" s="26">
        <v>15.992764622331682</v>
      </c>
      <c r="K208" s="26">
        <v>15.293336886354707</v>
      </c>
      <c r="L208" s="26">
        <v>14.624497930329559</v>
      </c>
      <c r="M208" s="26">
        <v>13.984909984232528</v>
      </c>
      <c r="N208" s="26">
        <v>13.373293784088174</v>
      </c>
      <c r="O208" s="26">
        <v>12.788426013265195</v>
      </c>
      <c r="P208" s="26">
        <v>12.229136855674689</v>
      </c>
      <c r="Q208" s="26">
        <v>11.694307655976877</v>
      </c>
      <c r="R208" s="26">
        <v>11.182868682116357</v>
      </c>
      <c r="S208" s="26">
        <v>10.693796985710678</v>
      </c>
      <c r="T208" s="26">
        <v>10.22611435601269</v>
      </c>
      <c r="U208" s="26">
        <v>9.778885363354334</v>
      </c>
      <c r="V208" s="26">
        <v>9.351215488158477</v>
      </c>
      <c r="W208" s="26">
        <v>8.942249331776571</v>
      </c>
      <c r="X208" s="26">
        <v>8.5511689055735474</v>
      </c>
      <c r="Y208" s="26">
        <v>8.1771919948378962</v>
      </c>
      <c r="Z208" s="26">
        <v>7.8195705942445155</v>
      </c>
      <c r="AA208" s="26">
        <v>7.4775894117410502</v>
      </c>
      <c r="AB208" s="26">
        <v>7.1505644378652748</v>
      </c>
      <c r="AC208" s="26">
        <v>6.837841577631969</v>
      </c>
      <c r="AD208" s="26">
        <v>6.5387953422528682</v>
      </c>
      <c r="AE208" s="26">
        <v>6.2528275980729422</v>
      </c>
      <c r="AF208" s="26">
        <v>5.9793663702207134</v>
      </c>
      <c r="AG208" s="26">
        <v>5.7178646985797412</v>
      </c>
      <c r="AH208" s="26">
        <v>5.4677995437930615</v>
      </c>
      <c r="AI208" s="26">
        <v>5</v>
      </c>
    </row>
    <row r="209" spans="2:36" ht="14.25" customHeight="1" thickTop="1" thickBot="1">
      <c r="C209" s="13" t="s">
        <v>9</v>
      </c>
      <c r="D209" s="8" t="s">
        <v>53</v>
      </c>
      <c r="E209" s="26">
        <v>2300</v>
      </c>
      <c r="F209" s="26">
        <v>2300</v>
      </c>
      <c r="G209" s="26">
        <v>2300</v>
      </c>
      <c r="H209" s="26">
        <v>2300</v>
      </c>
      <c r="I209" s="26">
        <v>2300</v>
      </c>
      <c r="J209" s="26">
        <v>2300</v>
      </c>
      <c r="K209" s="26">
        <v>2300</v>
      </c>
      <c r="L209" s="26">
        <v>2300</v>
      </c>
      <c r="M209" s="26">
        <v>2300</v>
      </c>
      <c r="N209" s="26">
        <v>2300</v>
      </c>
      <c r="O209" s="26">
        <v>2300</v>
      </c>
      <c r="P209" s="26">
        <v>2300</v>
      </c>
      <c r="Q209" s="26">
        <v>2300</v>
      </c>
      <c r="R209" s="26">
        <v>2300</v>
      </c>
      <c r="S209" s="26">
        <v>2300</v>
      </c>
      <c r="T209" s="26">
        <v>2300</v>
      </c>
      <c r="U209" s="26">
        <v>2300</v>
      </c>
      <c r="V209" s="26">
        <v>2300</v>
      </c>
      <c r="W209" s="26">
        <v>2300</v>
      </c>
      <c r="X209" s="26">
        <v>2300</v>
      </c>
      <c r="Y209" s="26">
        <v>2300</v>
      </c>
      <c r="Z209" s="26">
        <v>2300</v>
      </c>
      <c r="AA209" s="26">
        <v>2300</v>
      </c>
      <c r="AB209" s="26">
        <v>2300</v>
      </c>
      <c r="AC209" s="26">
        <v>2300</v>
      </c>
      <c r="AD209" s="26">
        <v>2300</v>
      </c>
      <c r="AE209" s="26">
        <v>2300</v>
      </c>
      <c r="AF209" s="26">
        <v>2300</v>
      </c>
      <c r="AG209" s="26">
        <v>2300</v>
      </c>
      <c r="AH209" s="26">
        <v>2300</v>
      </c>
      <c r="AI209" s="26">
        <v>2300</v>
      </c>
    </row>
    <row r="210" spans="2:36" ht="14.25" customHeight="1" thickTop="1" thickBot="1">
      <c r="C210" s="13" t="s">
        <v>9</v>
      </c>
      <c r="D210" s="8" t="s">
        <v>54</v>
      </c>
      <c r="E210" s="26">
        <v>0</v>
      </c>
      <c r="F210" s="26">
        <v>0</v>
      </c>
      <c r="G210" s="26">
        <v>0</v>
      </c>
      <c r="H210" s="26">
        <v>0</v>
      </c>
      <c r="I210" s="26">
        <v>0</v>
      </c>
      <c r="J210" s="26">
        <v>0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0</v>
      </c>
      <c r="T210" s="26">
        <v>0</v>
      </c>
      <c r="U210" s="26">
        <v>0</v>
      </c>
      <c r="V210" s="26">
        <v>0</v>
      </c>
      <c r="W210" s="26">
        <v>0</v>
      </c>
      <c r="X210" s="26">
        <v>0</v>
      </c>
      <c r="Y210" s="26">
        <v>0</v>
      </c>
      <c r="Z210" s="26">
        <v>0</v>
      </c>
      <c r="AA210" s="26">
        <v>0</v>
      </c>
      <c r="AB210" s="26">
        <v>0</v>
      </c>
      <c r="AC210" s="26">
        <v>0</v>
      </c>
      <c r="AD210" s="26">
        <v>0</v>
      </c>
      <c r="AE210" s="26">
        <v>0</v>
      </c>
      <c r="AF210" s="26">
        <v>0</v>
      </c>
      <c r="AG210" s="26">
        <v>0</v>
      </c>
      <c r="AH210" s="26">
        <v>0</v>
      </c>
      <c r="AI210" s="26">
        <v>0</v>
      </c>
    </row>
    <row r="211" spans="2:36" ht="14.25" customHeight="1" thickTop="1">
      <c r="C211" s="70"/>
      <c r="D211" s="71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</row>
    <row r="212" spans="2:36" ht="14.25" customHeight="1" thickBot="1"/>
    <row r="213" spans="2:36" ht="14.25" customHeight="1" thickTop="1" thickBot="1">
      <c r="C213" s="13" t="s">
        <v>11</v>
      </c>
      <c r="D213" s="8" t="s">
        <v>50</v>
      </c>
      <c r="E213" s="26">
        <v>1000</v>
      </c>
      <c r="F213" s="26">
        <v>1000</v>
      </c>
      <c r="G213" s="26">
        <v>1000</v>
      </c>
      <c r="H213" s="26">
        <v>1000</v>
      </c>
      <c r="I213" s="26">
        <v>1000</v>
      </c>
      <c r="J213" s="26">
        <v>1000</v>
      </c>
      <c r="K213" s="26">
        <v>1000</v>
      </c>
      <c r="L213" s="26">
        <v>1000</v>
      </c>
      <c r="M213" s="26">
        <v>1000</v>
      </c>
      <c r="N213" s="26">
        <v>1000</v>
      </c>
      <c r="O213" s="26">
        <v>1000</v>
      </c>
      <c r="P213" s="26">
        <v>1000</v>
      </c>
      <c r="Q213" s="26">
        <v>1000</v>
      </c>
      <c r="R213" s="26">
        <v>1000</v>
      </c>
      <c r="S213" s="26">
        <v>1000</v>
      </c>
      <c r="T213" s="26">
        <v>1000</v>
      </c>
      <c r="U213" s="26">
        <v>1000</v>
      </c>
      <c r="V213" s="26">
        <v>1000</v>
      </c>
      <c r="W213" s="26">
        <v>1000</v>
      </c>
      <c r="X213" s="26">
        <v>1000</v>
      </c>
      <c r="Y213" s="26">
        <v>1000</v>
      </c>
      <c r="Z213" s="26">
        <v>1000</v>
      </c>
      <c r="AA213" s="26">
        <v>1000</v>
      </c>
      <c r="AB213" s="26">
        <v>1000</v>
      </c>
      <c r="AC213" s="26">
        <v>1000</v>
      </c>
      <c r="AD213" s="26">
        <v>1000</v>
      </c>
      <c r="AE213" s="26">
        <v>1000</v>
      </c>
      <c r="AF213" s="26">
        <v>1000</v>
      </c>
      <c r="AG213" s="26">
        <v>1000</v>
      </c>
      <c r="AH213" s="26">
        <v>1000</v>
      </c>
      <c r="AI213" s="26">
        <v>1000</v>
      </c>
    </row>
    <row r="214" spans="2:36" ht="14.25" customHeight="1" thickTop="1" thickBot="1">
      <c r="C214" s="13" t="s">
        <v>11</v>
      </c>
      <c r="D214" s="8" t="s">
        <v>51</v>
      </c>
      <c r="E214" s="26">
        <v>50</v>
      </c>
      <c r="F214" s="26">
        <v>44.072178701747156</v>
      </c>
      <c r="G214" s="26">
        <v>38.847138710374715</v>
      </c>
      <c r="H214" s="26">
        <v>34.241560785903879</v>
      </c>
      <c r="I214" s="26">
        <v>30.182003719661871</v>
      </c>
      <c r="J214" s="26">
        <v>26.603733230194706</v>
      </c>
      <c r="K214" s="26">
        <v>23.449689701095004</v>
      </c>
      <c r="L214" s="26">
        <v>20.669578300143577</v>
      </c>
      <c r="M214" s="26">
        <v>18.219066970673659</v>
      </c>
      <c r="N214" s="26">
        <v>16.059079506212573</v>
      </c>
      <c r="O214" s="26">
        <v>14.155172435667319</v>
      </c>
      <c r="P214" s="26">
        <v>12.476985782775513</v>
      </c>
      <c r="Q214" s="26">
        <v>10.997758941552821</v>
      </c>
      <c r="R214" s="26">
        <v>9.6939039478170717</v>
      </c>
      <c r="S214" s="26">
        <v>8.544629342115325</v>
      </c>
      <c r="T214" s="26">
        <v>7.5316086261179764</v>
      </c>
      <c r="U214" s="26">
        <v>6.6386880256378369</v>
      </c>
      <c r="V214" s="26">
        <v>5.8516289002211952</v>
      </c>
      <c r="W214" s="26">
        <v>5.1578806917371338</v>
      </c>
      <c r="X214" s="26">
        <v>4.5463807913706038</v>
      </c>
      <c r="Y214" s="26">
        <v>4.0073781336695182</v>
      </c>
      <c r="Z214" s="26">
        <v>3.5322777046511402</v>
      </c>
      <c r="AA214" s="26">
        <v>3.113503484471646</v>
      </c>
      <c r="AB214" s="26">
        <v>2.7443776391229369</v>
      </c>
      <c r="AC214" s="26">
        <v>2.4190140347301008</v>
      </c>
      <c r="AD214" s="26">
        <v>2.1322243764131881</v>
      </c>
      <c r="AE214" s="26">
        <v>1.8794354749900684</v>
      </c>
      <c r="AF214" s="26">
        <v>1.6566163222433068</v>
      </c>
      <c r="AG214" s="26">
        <v>1.4602138118827634</v>
      </c>
      <c r="AH214" s="26">
        <v>1.2870960812011312</v>
      </c>
      <c r="AI214" s="26">
        <v>1</v>
      </c>
    </row>
    <row r="215" spans="2:36" ht="14.25" customHeight="1" thickTop="1" thickBot="1">
      <c r="C215" s="13" t="s">
        <v>11</v>
      </c>
      <c r="D215" s="8" t="s">
        <v>52</v>
      </c>
      <c r="E215" s="26">
        <v>20</v>
      </c>
      <c r="F215" s="26">
        <v>18.157718801053527</v>
      </c>
      <c r="G215" s="26">
        <v>16.485137602906637</v>
      </c>
      <c r="H215" s="26">
        <v>14.966624649512614</v>
      </c>
      <c r="I215" s="26">
        <v>13.587988089338317</v>
      </c>
      <c r="J215" s="26">
        <v>12.336343339913487</v>
      </c>
      <c r="K215" s="26">
        <v>11.199992669969928</v>
      </c>
      <c r="L215" s="26">
        <v>10.168315873758733</v>
      </c>
      <c r="M215" s="26">
        <v>9.2316710157999982</v>
      </c>
      <c r="N215" s="26">
        <v>8.3813043184366265</v>
      </c>
      <c r="O215" s="26">
        <v>7.6092683500113925</v>
      </c>
      <c r="P215" s="26">
        <v>6.9083477490631706</v>
      </c>
      <c r="Q215" s="26">
        <v>6.2719917903690074</v>
      </c>
      <c r="R215" s="26">
        <v>5.6942531626018349</v>
      </c>
      <c r="S215" s="26">
        <v>5.1697323854266921</v>
      </c>
      <c r="T215" s="26">
        <v>4.6935273465638767</v>
      </c>
      <c r="U215" s="26">
        <v>4.2611874871980886</v>
      </c>
      <c r="V215" s="26">
        <v>3.8686722075555382</v>
      </c>
      <c r="W215" s="26">
        <v>3.5123131039122222</v>
      </c>
      <c r="X215" s="26">
        <v>3.1887796841046812</v>
      </c>
      <c r="Y215" s="26">
        <v>2.8950482411242549</v>
      </c>
      <c r="Z215" s="26">
        <v>2.6283735938909412</v>
      </c>
      <c r="AA215" s="26">
        <v>2.3862634310993083</v>
      </c>
      <c r="AB215" s="26">
        <v>2.1664550183569204</v>
      </c>
      <c r="AC215" s="26">
        <v>1.9668940509228108</v>
      </c>
      <c r="AD215" s="26">
        <v>1.7857154544060727</v>
      </c>
      <c r="AE215" s="26">
        <v>1.6212259539900493</v>
      </c>
      <c r="AF215" s="26">
        <v>1.4718882492760528</v>
      </c>
      <c r="AG215" s="26">
        <v>1.336306646846477</v>
      </c>
      <c r="AH215" s="26">
        <v>1.2132140162708536</v>
      </c>
      <c r="AI215" s="26">
        <v>1.1014599476471467</v>
      </c>
      <c r="AJ215" s="21"/>
    </row>
    <row r="216" spans="2:36" ht="14.25" customHeight="1" thickTop="1" thickBot="1">
      <c r="C216" s="13" t="s">
        <v>11</v>
      </c>
      <c r="D216" s="8" t="s">
        <v>53</v>
      </c>
      <c r="E216" s="26">
        <v>2300</v>
      </c>
      <c r="F216" s="26">
        <v>2300</v>
      </c>
      <c r="G216" s="26">
        <v>2300</v>
      </c>
      <c r="H216" s="26">
        <v>2300</v>
      </c>
      <c r="I216" s="26">
        <v>2300</v>
      </c>
      <c r="J216" s="26">
        <v>2300</v>
      </c>
      <c r="K216" s="26">
        <v>2300</v>
      </c>
      <c r="L216" s="26">
        <v>2300</v>
      </c>
      <c r="M216" s="26">
        <v>2300</v>
      </c>
      <c r="N216" s="26">
        <v>2300</v>
      </c>
      <c r="O216" s="26">
        <v>2300</v>
      </c>
      <c r="P216" s="26">
        <v>2300</v>
      </c>
      <c r="Q216" s="26">
        <v>2300</v>
      </c>
      <c r="R216" s="26">
        <v>2300</v>
      </c>
      <c r="S216" s="26">
        <v>2300</v>
      </c>
      <c r="T216" s="26">
        <v>2300</v>
      </c>
      <c r="U216" s="26">
        <v>2300</v>
      </c>
      <c r="V216" s="26">
        <v>2300</v>
      </c>
      <c r="W216" s="26">
        <v>2300</v>
      </c>
      <c r="X216" s="26">
        <v>2300</v>
      </c>
      <c r="Y216" s="26">
        <v>2300</v>
      </c>
      <c r="Z216" s="26">
        <v>2300</v>
      </c>
      <c r="AA216" s="26">
        <v>2300</v>
      </c>
      <c r="AB216" s="26">
        <v>2300</v>
      </c>
      <c r="AC216" s="26">
        <v>2300</v>
      </c>
      <c r="AD216" s="26">
        <v>2300</v>
      </c>
      <c r="AE216" s="26">
        <v>2300</v>
      </c>
      <c r="AF216" s="26">
        <v>2300</v>
      </c>
      <c r="AG216" s="26">
        <v>2300</v>
      </c>
      <c r="AH216" s="26">
        <v>2300</v>
      </c>
      <c r="AI216" s="26">
        <v>2300</v>
      </c>
    </row>
    <row r="217" spans="2:36" ht="14.25" customHeight="1" thickTop="1" thickBot="1">
      <c r="C217" s="13" t="s">
        <v>11</v>
      </c>
      <c r="D217" s="8" t="s">
        <v>54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6">
        <v>0</v>
      </c>
      <c r="U217" s="26">
        <v>0</v>
      </c>
      <c r="V217" s="26">
        <v>0</v>
      </c>
      <c r="W217" s="26">
        <v>0</v>
      </c>
      <c r="X217" s="26">
        <v>0</v>
      </c>
      <c r="Y217" s="26">
        <v>0</v>
      </c>
      <c r="Z217" s="26">
        <v>0</v>
      </c>
      <c r="AA217" s="26">
        <v>0</v>
      </c>
      <c r="AB217" s="26">
        <v>0</v>
      </c>
      <c r="AC217" s="26">
        <v>0</v>
      </c>
      <c r="AD217" s="26">
        <v>0</v>
      </c>
      <c r="AE217" s="26">
        <v>0</v>
      </c>
      <c r="AF217" s="26">
        <v>0</v>
      </c>
      <c r="AG217" s="26">
        <v>0</v>
      </c>
      <c r="AH217" s="26">
        <v>0</v>
      </c>
      <c r="AI217" s="26">
        <v>0</v>
      </c>
    </row>
    <row r="218" spans="2:36" ht="14.25" customHeight="1" thickTop="1">
      <c r="D218" s="71"/>
      <c r="E218" s="26"/>
      <c r="F218" s="26"/>
      <c r="G218" s="26"/>
      <c r="H218" s="26"/>
      <c r="I218" s="28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</row>
    <row r="221" spans="2:36" ht="14.25" customHeight="1">
      <c r="B221" s="62" t="s">
        <v>55</v>
      </c>
      <c r="E221" s="1">
        <v>2020</v>
      </c>
      <c r="F221" s="1">
        <v>2021</v>
      </c>
      <c r="G221" s="1">
        <v>2022</v>
      </c>
      <c r="H221" s="1">
        <v>2023</v>
      </c>
      <c r="I221" s="1">
        <v>2024</v>
      </c>
      <c r="J221" s="1">
        <v>2025</v>
      </c>
      <c r="K221" s="1">
        <v>2026</v>
      </c>
      <c r="L221" s="1">
        <v>2027</v>
      </c>
      <c r="M221" s="1">
        <v>2028</v>
      </c>
      <c r="N221" s="1">
        <v>2029</v>
      </c>
      <c r="O221" s="1">
        <v>2030</v>
      </c>
      <c r="P221" s="1">
        <v>2031</v>
      </c>
      <c r="Q221" s="1">
        <v>2032</v>
      </c>
      <c r="R221" s="1">
        <v>2033</v>
      </c>
      <c r="S221" s="1">
        <v>2034</v>
      </c>
      <c r="T221" s="1">
        <v>2035</v>
      </c>
      <c r="U221" s="1">
        <v>2036</v>
      </c>
      <c r="V221" s="1">
        <v>2037</v>
      </c>
      <c r="W221" s="1">
        <v>2038</v>
      </c>
      <c r="X221" s="1">
        <v>2039</v>
      </c>
      <c r="Y221" s="1">
        <v>2040</v>
      </c>
      <c r="Z221" s="1">
        <v>2041</v>
      </c>
      <c r="AA221" s="1">
        <v>2042</v>
      </c>
      <c r="AB221" s="1">
        <v>2043</v>
      </c>
      <c r="AC221" s="1">
        <v>2044</v>
      </c>
      <c r="AD221" s="1">
        <v>2045</v>
      </c>
      <c r="AE221" s="1">
        <v>2046</v>
      </c>
      <c r="AF221" s="1">
        <v>2047</v>
      </c>
      <c r="AG221" s="1">
        <v>2048</v>
      </c>
      <c r="AH221" s="1">
        <v>2049</v>
      </c>
      <c r="AI221" s="1">
        <v>2050</v>
      </c>
    </row>
    <row r="222" spans="2:36" ht="14.25" customHeight="1" thickBot="1"/>
    <row r="223" spans="2:36" ht="14.25" customHeight="1" thickTop="1" thickBot="1">
      <c r="C223" s="13" t="s">
        <v>5</v>
      </c>
      <c r="D223" s="8" t="s">
        <v>50</v>
      </c>
      <c r="E223" s="5">
        <v>0</v>
      </c>
      <c r="F223" s="72">
        <f>(F140-E140)*0.6/F140*F200</f>
        <v>-6.0606060606060179</v>
      </c>
      <c r="G223" s="72">
        <f>(G140-F140)*0.6/G140*G200</f>
        <v>-6.0606058863803449</v>
      </c>
      <c r="H223" s="72">
        <f>(H140-G140)*0.6/H140*H200</f>
        <v>-6.0608146798794458</v>
      </c>
      <c r="I223" s="72">
        <f>(I140-H140)*0.6/I140*I200</f>
        <v>-6.0603571920911561</v>
      </c>
      <c r="J223" s="72">
        <f>(J140-I140)*0.6/J140*J200</f>
        <v>-6.0605402223817872</v>
      </c>
      <c r="K223" s="72">
        <f>(K140-J140)*0.6/K140*K200</f>
        <v>-6.0607088383841248</v>
      </c>
      <c r="L223" s="72">
        <f>(L140-K140)*0.6/L140*L200</f>
        <v>-6.0606243810661065</v>
      </c>
      <c r="M223" s="72">
        <f>(M140-L140)*0.6/M140*M200</f>
        <v>-6.0605912561942699</v>
      </c>
      <c r="N223" s="72">
        <f>(N140-M140)*0.6/N140*N200</f>
        <v>-6.0606178991510777</v>
      </c>
      <c r="O223" s="72">
        <f>(O140-N140)*0.6/O140*O200</f>
        <v>-6.0605871793546227</v>
      </c>
      <c r="P223" s="72">
        <f>(P140-O140)*0.6/P140*P200</f>
        <v>-6.0606302184371552</v>
      </c>
      <c r="Q223" s="72">
        <f>(Q140-P140)*0.6/Q140*Q200</f>
        <v>-6.0605636784491628</v>
      </c>
      <c r="R223" s="72">
        <f>(R140-Q140)*0.6/R140*R200</f>
        <v>-6.0606488708686408</v>
      </c>
      <c r="S223" s="72">
        <f>(S140-R140)*0.6/S140*S200</f>
        <v>-6.060570680225787</v>
      </c>
      <c r="T223" s="72">
        <f>(T140-S140)*0.6/T140*T200</f>
        <v>-6.060593486210121</v>
      </c>
      <c r="U223" s="72">
        <f>(U140-T140)*0.6/U140*U200</f>
        <v>-2.4653731797725209</v>
      </c>
      <c r="V223" s="72">
        <f>(V140-U140)*0.6/V140*V200</f>
        <v>-2.4653731797725325</v>
      </c>
      <c r="W223" s="72">
        <f>(W140-V140)*0.6/W140*W200</f>
        <v>-2.4653731797725822</v>
      </c>
      <c r="X223" s="72">
        <f>(X140-W140)*0.6/X140*X200</f>
        <v>-2.4653731797725489</v>
      </c>
      <c r="Y223" s="72">
        <f>(Y140-X140)*0.6/Y140*Y200</f>
        <v>-2.4653731797725738</v>
      </c>
      <c r="Z223" s="72">
        <f>(Z140-Y140)*0.6/Z140*Z200</f>
        <v>-2.4653731797725316</v>
      </c>
      <c r="AA223" s="72">
        <f>(AA140-Z140)*0.6/AA140*AA200</f>
        <v>-2.4653731797725569</v>
      </c>
      <c r="AB223" s="72">
        <f>(AB140-AA140)*0.6/AB140*AB200</f>
        <v>-2.4653731797725911</v>
      </c>
      <c r="AC223" s="72">
        <f>(AC140-AB140)*0.6/AC140*AC200</f>
        <v>-2.4653731797725902</v>
      </c>
      <c r="AD223" s="72">
        <f>(AD140-AC140)*0.6/AD140*AD200</f>
        <v>-2.465373179772536</v>
      </c>
      <c r="AE223" s="72">
        <f>(AE140-AD140)*0.6/AE140*AE200</f>
        <v>-2.4653731797725293</v>
      </c>
      <c r="AF223" s="72">
        <f>(AF140-AE140)*0.6/AF140*AF200</f>
        <v>-2.4653731797725746</v>
      </c>
      <c r="AG223" s="72">
        <f>(AG140-AF140)*0.6/AG140*AG200</f>
        <v>-2.4653731797725529</v>
      </c>
      <c r="AH223" s="72">
        <f>(AH140-AG140)*0.6/AH140*AH200</f>
        <v>-2.4653731797725795</v>
      </c>
      <c r="AI223" s="72">
        <f>(AI140-AH140)*0.6/AI140*AI200</f>
        <v>-4.9408764677381098</v>
      </c>
    </row>
    <row r="224" spans="2:36" ht="14.25" customHeight="1" thickTop="1" thickBot="1">
      <c r="C224" s="13" t="s">
        <v>5</v>
      </c>
      <c r="D224" s="8" t="s">
        <v>51</v>
      </c>
      <c r="E224" s="5">
        <f>E201*(E20-E20)/E140</f>
        <v>0</v>
      </c>
      <c r="F224" s="21">
        <f>F201*((F20-E20)+(F41-E41)+(F62-E62))/F$140</f>
        <v>3.7972628342555124E-2</v>
      </c>
      <c r="G224" s="21">
        <f>G201*((G20-F20)+(G41-F41)+(G62-F62))/G$140</f>
        <v>6.7396192882037798E-2</v>
      </c>
      <c r="H224" s="21">
        <f>H201*((H20-G20)+(H41-G41)+(H62-G62))/H$140</f>
        <v>6.4368090798943317E-2</v>
      </c>
      <c r="I224" s="21">
        <f>I201*((I20-H20)+(I41-H41)+(I62-H62))/I$140</f>
        <v>-1.491242000311627E-2</v>
      </c>
      <c r="J224" s="21">
        <f>J201*((J20-I20)+(J41-I41)+(J62-I62))/J$140</f>
        <v>-1.6163870548474842E-2</v>
      </c>
      <c r="K224" s="21">
        <f>K201*((K20-J20)+(K41-J41)+(K62-J62))/K$140</f>
        <v>1.0501008535523078E-3</v>
      </c>
      <c r="L224" s="21">
        <f>L201*((L20-K20)+(L41-K41)+(L62-K62))/L$140</f>
        <v>-8.2575925780565898E-5</v>
      </c>
      <c r="M224" s="21">
        <f>M201*((M20-L20)+(M41-L41)+(M62-L62))/M$140</f>
        <v>-1.2229307738770227E-3</v>
      </c>
      <c r="N224" s="21">
        <f>N201*((N20-M20)+(N41-M41)+(N62-M62))/N$140</f>
        <v>-2.3758412635914092E-3</v>
      </c>
      <c r="O224" s="21">
        <f>O201*((O20-N20)+(O41-N41)+(O62-N62))/O$140</f>
        <v>-3.5460159999120846E-3</v>
      </c>
      <c r="P224" s="21">
        <f>P201*((P20-O20)+(P41-O41)+(P62-O62))/P$140</f>
        <v>-4.7398239495071749E-3</v>
      </c>
      <c r="Q224" s="21">
        <f>Q201*((Q20-P20)+(Q41-P41)+(Q62-P62))/Q$140</f>
        <v>-5.9626623970682894E-3</v>
      </c>
      <c r="R224" s="21">
        <f>R201*((R20-Q20)+(R41-Q41)+(R62-Q62))/R$140</f>
        <v>-7.2225820413283686E-3</v>
      </c>
      <c r="S224" s="21">
        <f>S201*((S20-R20)+(S41-R41)+(S62-R62))/S$140</f>
        <v>-8.5255477526464396E-3</v>
      </c>
      <c r="T224" s="21">
        <f>T201*((T20-S20)+(T41-S41)+(T62-S62))/T$140</f>
        <v>-9.8808592702366287E-3</v>
      </c>
      <c r="U224" s="21">
        <f>U201*((U20-T20)+(U41-T41)+(U62-T62))/U$140</f>
        <v>4.9071104318866533E-3</v>
      </c>
      <c r="V224" s="21">
        <f>V201*((V20-U20)+(V41-U41)+(V62-U62))/V$140</f>
        <v>3.2507964600089765E-3</v>
      </c>
      <c r="W224" s="21">
        <f>W201*((W20-V20)+(W41-V41)+(W62-V62))/W$140</f>
        <v>1.5066081415725822E-3</v>
      </c>
      <c r="X224" s="21">
        <f>X201*((X20-W20)+(X41-W41)+(X62-W62))/X$140</f>
        <v>-3.3668505504615782E-4</v>
      </c>
      <c r="Y224" s="21">
        <f>Y201*((Y20-X20)+(Y41-X41)+(Y62-X62))/Y$140</f>
        <v>-2.2909866083715498E-3</v>
      </c>
      <c r="Z224" s="21">
        <f>Z201*((Z20-Y20)+(Z41-Y41)+(Z62-Y62))/Z$140</f>
        <v>-4.3687707862627625E-3</v>
      </c>
      <c r="AA224" s="21">
        <f>AA201*((AA20-Z20)+(AA41-Z41)+(AA62-Z62))/AA$140</f>
        <v>-6.5829167193334273E-3</v>
      </c>
      <c r="AB224" s="21">
        <f>AB201*((AB20-AA20)+(AB41-AA41)+(AB62-AA62))/AB$140</f>
        <v>-8.9464577057694512E-3</v>
      </c>
      <c r="AC224" s="21">
        <f>AC201*((AC20-AB20)+(AC41-AB41)+(AC62-AB62))/AC$140</f>
        <v>-1.1472218891105845E-2</v>
      </c>
      <c r="AD224" s="21">
        <f>AD201*((AD20-AC20)+(AD41-AC41)+(AD62-AC62))/AD$140</f>
        <v>9.4608484852055433E-2</v>
      </c>
      <c r="AE224" s="21">
        <f>AE201*((AE20-AD20)+(AE41-AD41)+(AE62-AD62))/AE$140</f>
        <v>8.2730754089694894E-2</v>
      </c>
      <c r="AF224" s="21">
        <f>AF201*((AF20-AE20)+(AF41-AE41)+(AF62-AE62))/AF$140</f>
        <v>7.0775976045081457E-2</v>
      </c>
      <c r="AG224" s="21">
        <f>AG201*((AG20-AF20)+(AG41-AF41)+(AG62-AF62))/AG$140</f>
        <v>5.8726939874100714E-2</v>
      </c>
      <c r="AH224" s="21">
        <f>AH201*((AH20-AG20)+(AH41-AG41)+(AH62-AG62))/AH$140</f>
        <v>4.657160677866138E-2</v>
      </c>
      <c r="AI224" s="21">
        <f>AI201*((AI20-AH20)+(AI41-AH41)+(AI62-AH62))/AI$140</f>
        <v>0.1695830352709648</v>
      </c>
    </row>
    <row r="225" spans="3:35" ht="14.25" customHeight="1" thickTop="1" thickBot="1">
      <c r="C225" s="13" t="s">
        <v>5</v>
      </c>
      <c r="D225" s="8" t="s">
        <v>52</v>
      </c>
      <c r="E225" s="5">
        <v>0</v>
      </c>
      <c r="F225" s="21">
        <f>((F22-E22)+(F43-E43)+(F64-E64))*F202/F140</f>
        <v>9.390648628725297E-4</v>
      </c>
      <c r="G225" s="21">
        <f>((G22-F22)+(G43-F43)+(G64-F64))*G202/G140</f>
        <v>1.4354126996159922E-3</v>
      </c>
      <c r="H225" s="21">
        <f>((H22-G22)+(H43-G43)+(H64-G64))*H202/H140</f>
        <v>1.5823027864838243E-3</v>
      </c>
      <c r="I225" s="21">
        <f>((I22-H22)+(I43-H43)+(I64-H64))*I202/I140</f>
        <v>1.3437822806916416E-3</v>
      </c>
      <c r="J225" s="21">
        <f>((J22-I22)+(J43-I43)+(J64-I64))*J202/J140</f>
        <v>1.4568238154002325E-3</v>
      </c>
      <c r="K225" s="21">
        <f>((K22-J22)+(K43-J43)+(K64-J64))*K202/K140</f>
        <v>1.7342361463579716E-3</v>
      </c>
      <c r="L225" s="21">
        <f>((L22-K22)+(L43-K43)+(L64-K64))*L202/L140</f>
        <v>1.8983068611900125E-3</v>
      </c>
      <c r="M225" s="21">
        <f>((M22-L22)+(M43-L43)+(M64-L64))*M202/M140</f>
        <v>2.0789792188520102E-3</v>
      </c>
      <c r="N225" s="21">
        <f>((N22-M22)+(N43-M43)+(N64-M64))*N202/N140</f>
        <v>2.2780063607779262E-3</v>
      </c>
      <c r="O225" s="21">
        <f>((O22-N22)+(O43-N43)+(O64-N64))*O202/O140</f>
        <v>2.4973268992957627E-3</v>
      </c>
      <c r="P225" s="21">
        <f>((P22-O22)+(P43-O43)+(P64-O64))*P202/P140</f>
        <v>2.7390662265549801E-3</v>
      </c>
      <c r="Q225" s="21">
        <f>((Q22-P22)+(Q43-P43)+(Q64-P64))*Q202/Q140</f>
        <v>3.0055736155205712E-3</v>
      </c>
      <c r="R225" s="21">
        <f>((R22-Q22)+(R43-Q43)+(R64-Q64))*R202/R140</f>
        <v>3.2994045983189739E-3</v>
      </c>
      <c r="S225" s="21">
        <f>((S22-R22)+(S43-R43)+(S64-R64))*S202/S140</f>
        <v>3.6233822505773836E-3</v>
      </c>
      <c r="T225" s="21">
        <f>((T22-S22)+(T43-S43)+(T64-S64))*T202/T140</f>
        <v>3.9805526581848027E-3</v>
      </c>
      <c r="U225" s="21">
        <f>((U22-T22)+(U43-T43)+(U64-T64))*U202/U140</f>
        <v>4.6147122061171884E-3</v>
      </c>
      <c r="V225" s="21">
        <f>((V22-U22)+(V43-U43)+(V64-U64))*V202/V140</f>
        <v>5.0712013101803007E-3</v>
      </c>
      <c r="W225" s="21">
        <f>((W22-V22)+(W43-V43)+(W64-V64))*W202/W140</f>
        <v>5.5739183853996659E-3</v>
      </c>
      <c r="X225" s="21">
        <f>((X22-W22)+(X43-W43)+(X64-W64))*X202/X140</f>
        <v>6.127206066409663E-3</v>
      </c>
      <c r="Y225" s="21">
        <f>((Y22-X22)+(Y43-X43)+(Y64-X64))*Y202/Y140</f>
        <v>6.7356654495463056E-3</v>
      </c>
      <c r="Z225" s="21">
        <f>((Z22-Y22)+(Z43-Y43)+(Z64-Y64))*Z202/Z140</f>
        <v>7.4041216426480603E-3</v>
      </c>
      <c r="AA225" s="21">
        <f>((AA22-Z22)+(AA43-Z43)+(AA64-Z64))*AA202/AA140</f>
        <v>8.1375689069664338E-3</v>
      </c>
      <c r="AB225" s="21">
        <f>((AB22-AA22)+(AB43-AA43)+(AB64-AA64))*AB202/AB140</f>
        <v>8.9410889950409349E-3</v>
      </c>
      <c r="AC225" s="21">
        <f>((AC22-AB22)+(AC43-AB43)+(AC64-AB64))*AC202/AC140</f>
        <v>9.8197345809861621E-3</v>
      </c>
      <c r="AD225" s="21">
        <f>((AD22-AC22)+(AD43-AC43)+(AD64-AC64))*AD202/AD140</f>
        <v>1.0778367545541307E-2</v>
      </c>
      <c r="AE225" s="21">
        <f>((AE22-AD22)+(AE43-AD43)+(AE64-AD64))*AE202/AE140</f>
        <v>1.1821439213942722E-2</v>
      </c>
      <c r="AF225" s="21">
        <f>((AF22-AE22)+(AF43-AE43)+(AF64-AE64))*AF202/AF140</f>
        <v>1.2952696321881819E-2</v>
      </c>
      <c r="AG225" s="21">
        <f>((AG22-AF22)+(AG43-AF43)+(AG64-AF64))*AG202/AG140</f>
        <v>1.4174792344421332E-2</v>
      </c>
      <c r="AH225" s="21">
        <f>((AH22-AG22)+(AH43-AG43)+(AH64-AG64))*AH202/AH140</f>
        <v>1.5488778667548905E-2</v>
      </c>
      <c r="AI225" s="21">
        <f>((AI22-AH22)+(AI43-AH43)+(AI64-AH64))*AI202/AI140</f>
        <v>3.6224044177434536E-2</v>
      </c>
    </row>
    <row r="226" spans="3:35" ht="14.25" customHeight="1" thickTop="1" thickBot="1">
      <c r="C226" s="13" t="s">
        <v>5</v>
      </c>
      <c r="D226" s="8" t="s">
        <v>53</v>
      </c>
      <c r="E226" s="5">
        <v>0</v>
      </c>
      <c r="F226" s="21">
        <f>(F140-E140)*0.6/F140*F203</f>
        <v>-13.939393939393842</v>
      </c>
      <c r="G226" s="21">
        <f>(G140-F140)*0.6/G140*G203</f>
        <v>-13.939393538674794</v>
      </c>
      <c r="H226" s="21">
        <f>(H140-G140)*0.6/H140*H203</f>
        <v>-13.939873763722725</v>
      </c>
      <c r="I226" s="21">
        <f>(I140-H140)*0.6/I140*I203</f>
        <v>-13.938821541809659</v>
      </c>
      <c r="J226" s="21">
        <f>(J140-I140)*0.6/J140*J203</f>
        <v>-13.93924251147811</v>
      </c>
      <c r="K226" s="21">
        <f>(K140-J140)*0.6/K140*K203</f>
        <v>-13.939630328283487</v>
      </c>
      <c r="L226" s="21">
        <f>(L140-K140)*0.6/L140*L203</f>
        <v>-13.939436076452045</v>
      </c>
      <c r="M226" s="21">
        <f>(M140-L140)*0.6/M140*M203</f>
        <v>-13.93935988924682</v>
      </c>
      <c r="N226" s="21">
        <f>(N140-M140)*0.6/N140*N203</f>
        <v>-13.939421168047478</v>
      </c>
      <c r="O226" s="21">
        <f>(O140-N140)*0.6/O140*O203</f>
        <v>-13.939350512515631</v>
      </c>
      <c r="P226" s="21">
        <f>(P140-O140)*0.6/P140*P203</f>
        <v>-13.939449502405457</v>
      </c>
      <c r="Q226" s="21">
        <f>(Q140-P140)*0.6/Q140*Q203</f>
        <v>-13.939296460433075</v>
      </c>
      <c r="R226" s="21">
        <f>(R140-Q140)*0.6/R140*R203</f>
        <v>-13.939492402997875</v>
      </c>
      <c r="S226" s="21">
        <f>(S140-R140)*0.6/S140*S203</f>
        <v>-13.939312564519309</v>
      </c>
      <c r="T226" s="21">
        <f>(T140-S140)*0.6/T140*T203</f>
        <v>-13.939365018283279</v>
      </c>
      <c r="U226" s="21">
        <f>(U140-T140)*0.6/U140*U203</f>
        <v>-5.6703583134767985</v>
      </c>
      <c r="V226" s="21">
        <f>(V140-U140)*0.6/V140*V203</f>
        <v>-5.6703583134768252</v>
      </c>
      <c r="W226" s="21">
        <f>(W140-V140)*0.6/W140*W203</f>
        <v>-5.6703583134769389</v>
      </c>
      <c r="X226" s="21">
        <f>(X140-W140)*0.6/X140*X203</f>
        <v>-5.6703583134768625</v>
      </c>
      <c r="Y226" s="21">
        <f>(Y140-X140)*0.6/Y140*Y203</f>
        <v>-5.6703583134769202</v>
      </c>
      <c r="Z226" s="21">
        <f>(Z140-Y140)*0.6/Z140*Z203</f>
        <v>-5.6703583134768225</v>
      </c>
      <c r="AA226" s="21">
        <f>(AA140-Z140)*0.6/AA140*AA203</f>
        <v>-5.6703583134768811</v>
      </c>
      <c r="AB226" s="21">
        <f>(AB140-AA140)*0.6/AB140*AB203</f>
        <v>-5.6703583134769602</v>
      </c>
      <c r="AC226" s="21">
        <f>(AC140-AB140)*0.6/AC140*AC203</f>
        <v>-5.6703583134769575</v>
      </c>
      <c r="AD226" s="21">
        <f>(AD140-AC140)*0.6/AD140*AD203</f>
        <v>-5.6703583134768332</v>
      </c>
      <c r="AE226" s="21">
        <f>(AE140-AD140)*0.6/AE140*AE203</f>
        <v>-5.6703583134768172</v>
      </c>
      <c r="AF226" s="21">
        <f>(AF140-AE140)*0.6/AF140*AF203</f>
        <v>-5.670358313476922</v>
      </c>
      <c r="AG226" s="21">
        <f>(AG140-AF140)*0.6/AG140*AG203</f>
        <v>-5.6703583134768722</v>
      </c>
      <c r="AH226" s="21">
        <f>(AH140-AG140)*0.6/AH140*AH203</f>
        <v>-5.6703583134769326</v>
      </c>
      <c r="AI226" s="21">
        <f>(AI140-AH140)*0.6/AI140*AI203</f>
        <v>-11.364015875797653</v>
      </c>
    </row>
    <row r="227" spans="3:35" ht="14.25" customHeight="1" thickTop="1" thickBot="1">
      <c r="C227" s="13" t="s">
        <v>5</v>
      </c>
      <c r="D227" s="8" t="s">
        <v>54</v>
      </c>
      <c r="E227" s="5">
        <v>0</v>
      </c>
      <c r="F227" s="21">
        <f>F204*(F139-E139)*1.08/F139</f>
        <v>0</v>
      </c>
      <c r="G227" s="21">
        <f>G204*(G139-F139)*1.08/G139</f>
        <v>0</v>
      </c>
      <c r="H227" s="21">
        <f>H204*(H139-G139)*1.08/H139</f>
        <v>0</v>
      </c>
      <c r="I227" s="21">
        <f>I204*(I139-H139)*1.08/I139</f>
        <v>0</v>
      </c>
      <c r="J227" s="21">
        <f>J204*(J139-I139)*1.08/J139</f>
        <v>0</v>
      </c>
      <c r="K227" s="21">
        <f>K204*(K139-J139)*1.08/K139</f>
        <v>0</v>
      </c>
      <c r="L227" s="21">
        <f>L204*(L139-K139)*1.08/L139</f>
        <v>0</v>
      </c>
      <c r="M227" s="21">
        <f>M204*(M139-L139)*1.08/M139</f>
        <v>0</v>
      </c>
      <c r="N227" s="21">
        <f>N204*(N139-M139)*1.08/N139</f>
        <v>0</v>
      </c>
      <c r="O227" s="21">
        <f>O204*(O139-N139)*1.08/O139</f>
        <v>0</v>
      </c>
      <c r="P227" s="21">
        <f>P204*(P139-O139)*1.08/P139</f>
        <v>0</v>
      </c>
      <c r="Q227" s="21">
        <f>Q204*(Q139-P139)*1.08/Q139</f>
        <v>0</v>
      </c>
      <c r="R227" s="21">
        <f>R204*(R139-Q139)*1.08/R139</f>
        <v>0</v>
      </c>
      <c r="S227" s="21">
        <f>S204*(S139-R139)*1.08/S139</f>
        <v>0</v>
      </c>
      <c r="T227" s="21">
        <f>T204*(T139-S139)*1.08/T139</f>
        <v>0</v>
      </c>
      <c r="U227" s="21">
        <f>U204*(U139-T139)*1.08/U139</f>
        <v>0</v>
      </c>
      <c r="V227" s="21">
        <f>V204*(V139-U139)*1.08/V139</f>
        <v>0</v>
      </c>
      <c r="W227" s="21">
        <f>W204*(W139-V139)*1.08/W139</f>
        <v>0</v>
      </c>
      <c r="X227" s="21">
        <f>X204*(X139-W139)*1.08/X139</f>
        <v>0</v>
      </c>
      <c r="Y227" s="21">
        <f>Y204*(Y139-X139)*1.08/Y139</f>
        <v>0</v>
      </c>
      <c r="Z227" s="21">
        <f>Z204*(Z139-Y139)*1.08/Z139</f>
        <v>0</v>
      </c>
      <c r="AA227" s="21">
        <f>AA204*(AA139-Z139)*1.08/AA139</f>
        <v>0</v>
      </c>
      <c r="AB227" s="21">
        <f>AB204*(AB139-AA139)*1.08/AB139</f>
        <v>0</v>
      </c>
      <c r="AC227" s="21">
        <f>AC204*(AC139-AB139)*1.08/AC139</f>
        <v>0</v>
      </c>
      <c r="AD227" s="21">
        <f>AD204*(AD139-AC139)*1.08/AD139</f>
        <v>0</v>
      </c>
      <c r="AE227" s="21">
        <f>AE204*(AE139-AD139)*1.08/AE139</f>
        <v>0</v>
      </c>
      <c r="AF227" s="21">
        <f>AF204*(AF139-AE139)*1.08/AF139</f>
        <v>0</v>
      </c>
      <c r="AG227" s="21">
        <f>AG204*(AG139-AF139)*1.08/AG139</f>
        <v>0</v>
      </c>
      <c r="AH227" s="21">
        <f>AH204*(AH139-AG139)*1.08/AH139</f>
        <v>0</v>
      </c>
      <c r="AI227" s="21">
        <f>AI204*(AI139-AH139)*1.08/AI139</f>
        <v>0</v>
      </c>
    </row>
    <row r="228" spans="3:35" ht="14.25" customHeight="1" thickTop="1" thickBot="1"/>
    <row r="229" spans="3:35" ht="14.25" customHeight="1" thickTop="1" thickBot="1">
      <c r="C229" s="13" t="s">
        <v>9</v>
      </c>
      <c r="D229" s="8" t="s">
        <v>50</v>
      </c>
      <c r="E229" s="5">
        <v>0</v>
      </c>
      <c r="F229" s="72">
        <f>(F149-E149)*0.6/F149*F206</f>
        <v>-6.6734074823053957</v>
      </c>
      <c r="G229" s="72">
        <f>(G149-F149)*0.6/G149*G206</f>
        <v>-6.6734074823053708</v>
      </c>
      <c r="H229" s="72">
        <f>(H149-G149)*0.6/H149*H206</f>
        <v>-6.6734074823053877</v>
      </c>
      <c r="I229" s="72">
        <f>(I149-H149)*0.6/I149*I206</f>
        <v>-6.6734074823053895</v>
      </c>
      <c r="J229" s="72">
        <f>(J149-I149)*0.6/J149*J206</f>
        <v>-6.6734074823053255</v>
      </c>
      <c r="K229" s="72">
        <f>(K149-J149)*0.6/K149*K206</f>
        <v>-6.6734074823053806</v>
      </c>
      <c r="L229" s="72">
        <f>(L149-K149)*0.6/L149*L206</f>
        <v>-6.6734074823053584</v>
      </c>
      <c r="M229" s="72">
        <f>(M149-L149)*0.6/M149*M206</f>
        <v>-6.6734074823053726</v>
      </c>
      <c r="N229" s="72">
        <f>(N149-M149)*0.6/N149*N206</f>
        <v>-6.6734074823053682</v>
      </c>
      <c r="O229" s="72">
        <f>(O149-N149)*0.6/O149*O206</f>
        <v>-6.673407482305338</v>
      </c>
      <c r="P229" s="72">
        <f>(P149-O149)*0.6/P149*P206</f>
        <v>-6.6734074823053442</v>
      </c>
      <c r="Q229" s="72">
        <f>(Q149-P149)*0.6/Q149*Q206</f>
        <v>-6.673407482305354</v>
      </c>
      <c r="R229" s="72">
        <f>(R149-Q149)*0.6/R149*R206</f>
        <v>-6.6734074823053913</v>
      </c>
      <c r="S229" s="72">
        <f>(S149-R149)*0.6/S149*S206</f>
        <v>-6.6734074823053469</v>
      </c>
      <c r="T229" s="72">
        <f>(T149-S149)*0.6/T149*T206</f>
        <v>-6.6734074823053762</v>
      </c>
      <c r="U229" s="72">
        <f>(U149-T149)*0.6/U149*U206</f>
        <v>-6.6734074823053531</v>
      </c>
      <c r="V229" s="72">
        <f>(V149-U149)*0.6/V149*V206</f>
        <v>-6.6734074823054002</v>
      </c>
      <c r="W229" s="72">
        <f>(W149-V149)*0.6/W149*W206</f>
        <v>-6.6734074823053398</v>
      </c>
      <c r="X229" s="72">
        <f>(X149-W149)*0.6/X149*X206</f>
        <v>-6.6734074823053255</v>
      </c>
      <c r="Y229" s="72">
        <f>(Y149-X149)*0.6/Y149*Y206</f>
        <v>-6.673407482305346</v>
      </c>
      <c r="Z229" s="72">
        <f>(Z149-Y149)*0.6/Z149*Z206</f>
        <v>-6.6734074823054019</v>
      </c>
      <c r="AA229" s="72">
        <f>(AA149-Z149)*0.6/AA149*AA206</f>
        <v>-6.6734074823054126</v>
      </c>
      <c r="AB229" s="72">
        <f>(AB149-AA149)*0.6/AB149*AB206</f>
        <v>-6.6734074823053664</v>
      </c>
      <c r="AC229" s="72">
        <f>(AC149-AB149)*0.6/AC149*AC206</f>
        <v>-6.6734074823053815</v>
      </c>
      <c r="AD229" s="72">
        <f>(AD149-AC149)*0.6/AD149*AD206</f>
        <v>-6.6734074823053362</v>
      </c>
      <c r="AE229" s="72">
        <f>(AE149-AD149)*0.6/AE149*AE206</f>
        <v>-6.6734074823054108</v>
      </c>
      <c r="AF229" s="72">
        <f>(AF149-AE149)*0.6/AF149*AF206</f>
        <v>-6.6734074823054046</v>
      </c>
      <c r="AG229" s="72">
        <f>(AG149-AF149)*0.6/AG149*AG206</f>
        <v>-6.6734074823053531</v>
      </c>
      <c r="AH229" s="72">
        <f>(AH149-AG149)*0.6/AH149*AH206</f>
        <v>-6.6734074823054215</v>
      </c>
      <c r="AI229" s="72">
        <f>(AI149-AH149)*0.6/AI149*AI206</f>
        <v>-6.6734074823053753</v>
      </c>
    </row>
    <row r="230" spans="3:35" ht="14.25" customHeight="1" thickTop="1" thickBot="1">
      <c r="C230" s="13" t="s">
        <v>9</v>
      </c>
      <c r="D230" s="8" t="s">
        <v>51</v>
      </c>
      <c r="E230" s="5">
        <f>E207*(E25-E25)/E147</f>
        <v>0</v>
      </c>
      <c r="F230" s="21">
        <f>F207*((F27-E27)+(F48-E48)+(F69-E69))/F$149</f>
        <v>2.0790182245423422E-2</v>
      </c>
      <c r="G230" s="21">
        <f>G207*((G27-F27)+(G48-F48)+(G69-F69))/G$149</f>
        <v>9.5457013472850183E-2</v>
      </c>
      <c r="H230" s="21">
        <f>H207*((H27-G27)+(H48-G48)+(H69-G69))/H$149</f>
        <v>0.90130545085877123</v>
      </c>
      <c r="I230" s="21">
        <f>I207*((I27-H27)+(I48-H48)+(I69-H69))/I$149</f>
        <v>-1.2431281365350122E-2</v>
      </c>
      <c r="J230" s="21">
        <f>J207*((J27-I27)+(J48-I48)+(J69-I69))/J$149</f>
        <v>-1.7285723577900366E-2</v>
      </c>
      <c r="K230" s="21">
        <f>K207*((K27-J27)+(K48-J48)+(K69-J69))/K$149</f>
        <v>-1.1194822238933946E-2</v>
      </c>
      <c r="L230" s="21">
        <f>L207*((L27-K27)+(L48-K48)+(L69-K69))/L$149</f>
        <v>-6.6191004070144553E-3</v>
      </c>
      <c r="M230" s="21">
        <f>M207*((M27-L27)+(M48-L48)+(M69-L69))/M$149</f>
        <v>-1.8882387847425169E-2</v>
      </c>
      <c r="N230" s="21">
        <f>N207*((N27-M27)+(N48-M48)+(N69-M69))/N$149</f>
        <v>-1.6604631214744162E-2</v>
      </c>
      <c r="O230" s="21">
        <f>O207*((O27-N27)+(O48-N48)+(O69-N69))/O$149</f>
        <v>-7.6618477014756201E-3</v>
      </c>
      <c r="P230" s="21">
        <f>P207*((P27-O27)+(P48-O48)+(P69-O69))/P$149</f>
        <v>-1.3280985435345366E-2</v>
      </c>
      <c r="Q230" s="21">
        <f>Q207*((Q27-P27)+(Q48-P48)+(Q69-P69))/Q$149</f>
        <v>-1.4684677861492782E-2</v>
      </c>
      <c r="R230" s="21">
        <f>R207*((R27-Q27)+(R48-Q48)+(R69-Q69))/R$149</f>
        <v>-1.6472175639389124E-2</v>
      </c>
      <c r="S230" s="21">
        <f>S207*((S27-R27)+(S48-R48)+(S69-R69))/S$149</f>
        <v>-1.6121028439039661E-2</v>
      </c>
      <c r="T230" s="21">
        <f>T207*((T27-S27)+(T48-S48)+(T69-S69))/T$149</f>
        <v>-1.7731129472547458E-2</v>
      </c>
      <c r="U230" s="21">
        <f>U207*((U27-T27)+(U48-T48)+(U69-T69))/U$149</f>
        <v>-1.4340238071441823E-2</v>
      </c>
      <c r="V230" s="21">
        <f>V207*((V27-U27)+(V48-U48)+(V69-U69))/V$149</f>
        <v>-1.3751022631840071E-2</v>
      </c>
      <c r="W230" s="21">
        <f>W207*((W27-V27)+(W48-V48)+(W69-V69))/W$149</f>
        <v>-1.1019289186929696E-2</v>
      </c>
      <c r="X230" s="21">
        <f>X207*((X27-W27)+(X48-W48)+(X69-W69))/X$149</f>
        <v>-1.4736836559238405E-2</v>
      </c>
      <c r="Y230" s="21">
        <f>Y207*((Y27-X27)+(Y48-X48)+(Y69-X69))/Y$149</f>
        <v>-1.0682810914354827E-2</v>
      </c>
      <c r="Z230" s="21">
        <f>Z207*((Z27-Y27)+(Z48-Y48)+(Z69-Y69))/Z$149</f>
        <v>-9.5667750935816819E-3</v>
      </c>
      <c r="AA230" s="21">
        <f>AA207*((AA27-Z27)+(AA48-Z48)+(AA69-Z69))/AA$149</f>
        <v>-8.8273577755014019E-3</v>
      </c>
      <c r="AB230" s="21">
        <f>AB207*((AB27-AA27)+(AB48-AA48)+(AB69-AA69))/AB$149</f>
        <v>-4.8838358621031515E-3</v>
      </c>
      <c r="AC230" s="21">
        <f>AC207*((AC27-AB27)+(AC48-AB48)+(AC69-AB69))/AC$149</f>
        <v>-6.1409966488904051E-3</v>
      </c>
      <c r="AD230" s="21">
        <f>AD207*((AD27-AC27)+(AD48-AC48)+(AD69-AC69))/AD$149</f>
        <v>-6.1663290687423563E-3</v>
      </c>
      <c r="AE230" s="21">
        <f>AE207*((AE27-AD27)+(AE48-AD48)+(AE69-AD69))/AE$149</f>
        <v>-3.1103587225111678E-3</v>
      </c>
      <c r="AF230" s="21">
        <f>AF207*((AF27-AE27)+(AF48-AE48)+(AF69-AE69))/AF$149</f>
        <v>-3.2711268008387044E-3</v>
      </c>
      <c r="AG230" s="21">
        <f>AG207*((AG27-AF27)+(AG48-AF48)+(AG69-AF69))/AG$149</f>
        <v>-1.7848738554361767E-3</v>
      </c>
      <c r="AH230" s="21">
        <f>AH207*((AH27-AG27)+(AH48-AG48)+(AH69-AG69))/AH$149</f>
        <v>-1.6426558612650647E-3</v>
      </c>
      <c r="AI230" s="21">
        <f>AI207*((AI27-AH27)+(AI48-AH48)+(AI69-AH69))/AI$149</f>
        <v>-5.6100484823725493E-3</v>
      </c>
    </row>
    <row r="231" spans="3:35" ht="14.25" customHeight="1" thickTop="1" thickBot="1">
      <c r="C231" s="13" t="s">
        <v>9</v>
      </c>
      <c r="D231" s="8" t="s">
        <v>52</v>
      </c>
      <c r="E231" s="5">
        <v>0</v>
      </c>
      <c r="F231" s="21">
        <f>((F29-E29)+(F50-E50)+(F71-E71))*F208/F149</f>
        <v>1.2523834626181666E-3</v>
      </c>
      <c r="G231" s="21">
        <f>((G29-F29)+(G50-F50)+(G71-F71))*G208/G149</f>
        <v>6.5466697176789828E-4</v>
      </c>
      <c r="H231" s="21">
        <f>((H29-G29)+(H50-G50)+(H71-G71))*H208/H149</f>
        <v>1.3647662032918638E-2</v>
      </c>
      <c r="I231" s="21">
        <f>((I29-H29)+(I50-H50)+(I71-H71))*I208/I149</f>
        <v>1.1122381520337968E-2</v>
      </c>
      <c r="J231" s="21">
        <f>((J29-I29)+(J50-I50)+(J71-I71))*J208/J149</f>
        <v>1.1056533656627237E-2</v>
      </c>
      <c r="K231" s="21">
        <f>((K29-J29)+(K50-J50)+(K71-J71))*K208/K149</f>
        <v>9.4494027704796878E-3</v>
      </c>
      <c r="L231" s="21">
        <f>((L29-K29)+(L50-K50)+(L71-K71))*L208/L149</f>
        <v>9.544217249238849E-3</v>
      </c>
      <c r="M231" s="21">
        <f>((M29-L29)+(M50-L50)+(M71-L71))*M208/M149</f>
        <v>8.1393434073407153E-3</v>
      </c>
      <c r="N231" s="21">
        <f>((N29-M29)+(N50-M50)+(N71-M71))*N208/N149</f>
        <v>8.3220454518141695E-3</v>
      </c>
      <c r="O231" s="21">
        <f>((O29-N29)+(O50-N50)+(O71-N71))*O208/O149</f>
        <v>7.8421286824167033E-3</v>
      </c>
      <c r="P231" s="21">
        <f>((P29-O29)+(P50-O50)+(P71-O71))*P208/P149</f>
        <v>6.8697898739289885E-3</v>
      </c>
      <c r="Q231" s="21">
        <f>((Q29-P29)+(Q50-P50)+(Q71-P71))*Q208/Q149</f>
        <v>7.1722921919158827E-3</v>
      </c>
      <c r="R231" s="21">
        <f>((R29-Q29)+(R50-Q50)+(R71-Q71))*R208/R149</f>
        <v>6.4470059141058435E-3</v>
      </c>
      <c r="S231" s="21">
        <f>((S29-R29)+(S50-R50)+(S71-R71))*S208/S149</f>
        <v>6.8273160527633501E-3</v>
      </c>
      <c r="T231" s="21">
        <f>((T29-S29)+(T50-S50)+(T71-S71))*T208/T149</f>
        <v>6.3273167400129662E-3</v>
      </c>
      <c r="U231" s="21">
        <f>((U29-T29)+(U50-T50)+(U71-T71))*U208/U149</f>
        <v>6.790878998191403E-3</v>
      </c>
      <c r="V231" s="21">
        <f>((V29-U29)+(V50-U50)+(V71-U71))*V208/V149</f>
        <v>6.5038468557674558E-3</v>
      </c>
      <c r="W231" s="21">
        <f>((W29-V29)+(W50-V50)+(W71-V71))*W208/W149</f>
        <v>7.0630687051717427E-3</v>
      </c>
      <c r="X231" s="21">
        <f>((X29-W29)+(X50-W50)+(X71-W71))*X208/X149</f>
        <v>6.9874631043875561E-3</v>
      </c>
      <c r="Y231" s="21">
        <f>((Y29-X29)+(Y50-X50)+(Y71-X71))*Y208/Y149</f>
        <v>7.6641582670926222E-3</v>
      </c>
      <c r="Z231" s="21">
        <f>((Z29-Y29)+(Z50-Y50)+(Z71-Y71))*Z208/Z149</f>
        <v>7.8120324646913809E-3</v>
      </c>
      <c r="AA231" s="21">
        <f>((AA29-Z29)+(AA50-Z50)+(AA71-Z71))*AA208/AA149</f>
        <v>8.6416728082846263E-3</v>
      </c>
      <c r="AB231" s="21">
        <f>((AB29-AA29)+(AB50-AA50)+(AB71-AA71))*AB208/AB149</f>
        <v>9.0438535977308745E-3</v>
      </c>
      <c r="AC231" s="21">
        <f>((AC29-AB29)+(AC50-AB50)+(AC71-AB71))*AC208/AC149</f>
        <v>9.8495296305228276E-3</v>
      </c>
      <c r="AD231" s="21">
        <f>((AD29-AC29)+(AD50-AC50)+(AD71-AC71))*AD208/AD149</f>
        <v>1.0804376338918021E-2</v>
      </c>
      <c r="AE231" s="21">
        <f>((AE29-AD29)+(AE50-AD50)+(AE71-AD71))*AE208/AE149</f>
        <v>1.1934923450821009E-2</v>
      </c>
      <c r="AF231" s="21">
        <f>((AF29-AE29)+(AF50-AE50)+(AF71-AE71))*AF208/AF149</f>
        <v>1.3275132063476551E-2</v>
      </c>
      <c r="AG231" s="21">
        <f>((AG29-AF29)+(AG50-AF50)+(AG71-AF71))*AG208/AG149</f>
        <v>1.4868456918787956E-2</v>
      </c>
      <c r="AH231" s="21">
        <f>((AH29-AG29)+(AH50-AG50)+(AH71-AG71))*AH208/AH149</f>
        <v>1.6770520941385095E-2</v>
      </c>
      <c r="AI231" s="21">
        <f>((AI29-AH29)+(AI50-AH50)+(AI71-AH71))*AI208/AI149</f>
        <v>3.5435498824322682E-2</v>
      </c>
    </row>
    <row r="232" spans="3:35" ht="14.25" customHeight="1" thickTop="1" thickBot="1">
      <c r="C232" s="13" t="s">
        <v>9</v>
      </c>
      <c r="D232" s="8" t="s">
        <v>53</v>
      </c>
      <c r="E232" s="5">
        <v>0</v>
      </c>
      <c r="F232" s="21">
        <f>(F149-E149)*0.6/F149*F209</f>
        <v>-15.34883720930241</v>
      </c>
      <c r="G232" s="21">
        <f>(G149-F149)*0.6/G149*G209</f>
        <v>-15.348837209302353</v>
      </c>
      <c r="H232" s="21">
        <f>(H149-G149)*0.6/H149*H209</f>
        <v>-15.348837209302392</v>
      </c>
      <c r="I232" s="21">
        <f>(I149-H149)*0.6/I149*I209</f>
        <v>-15.348837209302395</v>
      </c>
      <c r="J232" s="21">
        <f>(J149-I149)*0.6/J149*J209</f>
        <v>-15.348837209302248</v>
      </c>
      <c r="K232" s="21">
        <f>(K149-J149)*0.6/K149*K209</f>
        <v>-15.348837209302376</v>
      </c>
      <c r="L232" s="21">
        <f>(L149-K149)*0.6/L149*L209</f>
        <v>-15.348837209302324</v>
      </c>
      <c r="M232" s="21">
        <f>(M149-L149)*0.6/M149*M209</f>
        <v>-15.348837209302358</v>
      </c>
      <c r="N232" s="21">
        <f>(N149-M149)*0.6/N149*N209</f>
        <v>-15.348837209302348</v>
      </c>
      <c r="O232" s="21">
        <f>(O149-N149)*0.6/O149*O209</f>
        <v>-15.348837209302278</v>
      </c>
      <c r="P232" s="21">
        <f>(P149-O149)*0.6/P149*P209</f>
        <v>-15.348837209302292</v>
      </c>
      <c r="Q232" s="21">
        <f>(Q149-P149)*0.6/Q149*Q209</f>
        <v>-15.348837209302314</v>
      </c>
      <c r="R232" s="21">
        <f>(R149-Q149)*0.6/R149*R209</f>
        <v>-15.348837209302399</v>
      </c>
      <c r="S232" s="21">
        <f>(S149-R149)*0.6/S149*S209</f>
        <v>-15.348837209302298</v>
      </c>
      <c r="T232" s="21">
        <f>(T149-S149)*0.6/T149*T209</f>
        <v>-15.348837209302365</v>
      </c>
      <c r="U232" s="21">
        <f>(U149-T149)*0.6/U149*U209</f>
        <v>-15.348837209302312</v>
      </c>
      <c r="V232" s="21">
        <f>(V149-U149)*0.6/V149*V209</f>
        <v>-15.348837209302419</v>
      </c>
      <c r="W232" s="21">
        <f>(W149-V149)*0.6/W149*W209</f>
        <v>-15.348837209302282</v>
      </c>
      <c r="X232" s="21">
        <f>(X149-W149)*0.6/X149*X209</f>
        <v>-15.348837209302248</v>
      </c>
      <c r="Y232" s="21">
        <f>(Y149-X149)*0.6/Y149*Y209</f>
        <v>-15.348837209302296</v>
      </c>
      <c r="Z232" s="21">
        <f>(Z149-Y149)*0.6/Z149*Z209</f>
        <v>-15.348837209302426</v>
      </c>
      <c r="AA232" s="21">
        <f>(AA149-Z149)*0.6/AA149*AA209</f>
        <v>-15.348837209302449</v>
      </c>
      <c r="AB232" s="21">
        <f>(AB149-AA149)*0.6/AB149*AB209</f>
        <v>-15.348837209302344</v>
      </c>
      <c r="AC232" s="21">
        <f>(AC149-AB149)*0.6/AC149*AC209</f>
        <v>-15.348837209302378</v>
      </c>
      <c r="AD232" s="21">
        <f>(AD149-AC149)*0.6/AD149*AD209</f>
        <v>-15.348837209302273</v>
      </c>
      <c r="AE232" s="21">
        <f>(AE149-AD149)*0.6/AE149*AE209</f>
        <v>-15.348837209302445</v>
      </c>
      <c r="AF232" s="21">
        <f>(AF149-AE149)*0.6/AF149*AF209</f>
        <v>-15.348837209302431</v>
      </c>
      <c r="AG232" s="21">
        <f>(AG149-AF149)*0.6/AG149*AG209</f>
        <v>-15.348837209302312</v>
      </c>
      <c r="AH232" s="21">
        <f>(AH149-AG149)*0.6/AH149*AH209</f>
        <v>-15.34883720930247</v>
      </c>
      <c r="AI232" s="21">
        <f>(AI149-AH149)*0.6/AI149*AI209</f>
        <v>-15.348837209302364</v>
      </c>
    </row>
    <row r="233" spans="3:35" ht="14.25" customHeight="1" thickTop="1" thickBot="1">
      <c r="C233" s="13" t="s">
        <v>9</v>
      </c>
      <c r="D233" s="8" t="s">
        <v>54</v>
      </c>
      <c r="E233" s="5">
        <v>0</v>
      </c>
      <c r="F233" s="21">
        <f>F210*(F148-E148)*1.08/F148</f>
        <v>0</v>
      </c>
      <c r="G233" s="21">
        <f>G210*(G148-F148)*1.08/G148</f>
        <v>0</v>
      </c>
      <c r="H233" s="21">
        <f>H210*(H148-G148)*1.08/H148</f>
        <v>0</v>
      </c>
      <c r="I233" s="21">
        <f>I210*(I148-H148)*1.08/I148</f>
        <v>0</v>
      </c>
      <c r="J233" s="21">
        <f>J210*(J148-I148)*1.08/J148</f>
        <v>0</v>
      </c>
      <c r="K233" s="21">
        <f>K210*(K148-J148)*1.08/K148</f>
        <v>0</v>
      </c>
      <c r="L233" s="21">
        <f>L210*(L148-K148)*1.08/L148</f>
        <v>0</v>
      </c>
      <c r="M233" s="21">
        <f>M210*(M148-L148)*1.08/M148</f>
        <v>0</v>
      </c>
      <c r="N233" s="21">
        <f>N210*(N148-M148)*1.08/N148</f>
        <v>0</v>
      </c>
      <c r="O233" s="21">
        <f>O210*(O148-N148)*1.08/O148</f>
        <v>0</v>
      </c>
      <c r="P233" s="21">
        <f>P210*(P148-O148)*1.08/P148</f>
        <v>0</v>
      </c>
      <c r="Q233" s="21">
        <f>Q210*(Q148-P148)*1.08/Q148</f>
        <v>0</v>
      </c>
      <c r="R233" s="21">
        <f>R210*(R148-Q148)*1.08/R148</f>
        <v>0</v>
      </c>
      <c r="S233" s="21">
        <f>S210*(S148-R148)*1.08/S148</f>
        <v>0</v>
      </c>
      <c r="T233" s="21">
        <f>T210*(T148-S148)*1.08/T148</f>
        <v>0</v>
      </c>
      <c r="U233" s="21">
        <f>U210*(U148-T148)*1.08/U148</f>
        <v>0</v>
      </c>
      <c r="V233" s="21">
        <f>V210*(V148-U148)*1.08/V148</f>
        <v>0</v>
      </c>
      <c r="W233" s="21">
        <f>W210*(W148-V148)*1.08/W148</f>
        <v>0</v>
      </c>
      <c r="X233" s="21">
        <f>X210*(X148-W148)*1.08/X148</f>
        <v>0</v>
      </c>
      <c r="Y233" s="21">
        <f>Y210*(Y148-X148)*1.08/Y148</f>
        <v>0</v>
      </c>
      <c r="Z233" s="21">
        <f>Z210*(Z148-Y148)*1.08/Z148</f>
        <v>0</v>
      </c>
      <c r="AA233" s="21">
        <f>AA210*(AA148-Z148)*1.08/AA148</f>
        <v>0</v>
      </c>
      <c r="AB233" s="21">
        <f>AB210*(AB148-AA148)*1.08/AB148</f>
        <v>0</v>
      </c>
      <c r="AC233" s="21">
        <f>AC210*(AC148-AB148)*1.08/AC148</f>
        <v>0</v>
      </c>
      <c r="AD233" s="21">
        <f>AD210*(AD148-AC148)*1.08/AD148</f>
        <v>0</v>
      </c>
      <c r="AE233" s="21">
        <f>AE210*(AE148-AD148)*1.08/AE148</f>
        <v>0</v>
      </c>
      <c r="AF233" s="21">
        <f>AF210*(AF148-AE148)*1.08/AF148</f>
        <v>0</v>
      </c>
      <c r="AG233" s="21">
        <f>AG210*(AG148-AF148)*1.08/AG148</f>
        <v>0</v>
      </c>
      <c r="AH233" s="21">
        <f>AH210*(AH148-AG148)*1.08/AH148</f>
        <v>0</v>
      </c>
      <c r="AI233" s="21">
        <f>AI210*(AI148-AH148)*1.08/AI148</f>
        <v>0</v>
      </c>
    </row>
    <row r="234" spans="3:35" ht="14.25" customHeight="1" thickTop="1" thickBot="1">
      <c r="F234" s="21"/>
    </row>
    <row r="235" spans="3:35" ht="14.25" customHeight="1" thickTop="1" thickBot="1">
      <c r="C235" s="13" t="s">
        <v>11</v>
      </c>
      <c r="D235" s="8" t="s">
        <v>50</v>
      </c>
      <c r="E235" s="5">
        <v>0</v>
      </c>
      <c r="F235" s="72">
        <f>(F158-E158)*0.6/F158*F213</f>
        <v>-8.2725060827250356</v>
      </c>
      <c r="G235" s="72">
        <f>(G158-F158)*0.6/G158*G213</f>
        <v>-8.2725060827250552</v>
      </c>
      <c r="H235" s="72">
        <f>(H158-G158)*0.6/H158*H213</f>
        <v>-8.2725060827250214</v>
      </c>
      <c r="I235" s="72">
        <f>(I158-H158)*0.6/I158*I213</f>
        <v>-8.2725060827249912</v>
      </c>
      <c r="J235" s="72">
        <f>(J158-I158)*0.6/J158*J213</f>
        <v>-8.2725060827250267</v>
      </c>
      <c r="K235" s="72">
        <f>(K158-J158)*0.6/K158*K213</f>
        <v>-8.2725060827250694</v>
      </c>
      <c r="L235" s="72">
        <f>(L158-K158)*0.6/L158*L213</f>
        <v>-8.2725060827250179</v>
      </c>
      <c r="M235" s="72">
        <f>(M158-L158)*0.6/M158*M213</f>
        <v>-8.2725060827249965</v>
      </c>
      <c r="N235" s="72">
        <f>(N158-M158)*0.6/N158*N213</f>
        <v>-8.2725060827249948</v>
      </c>
      <c r="O235" s="72">
        <f>(O158-N158)*0.6/O158*O213</f>
        <v>-8.2725060827250587</v>
      </c>
      <c r="P235" s="72">
        <f>(P158-O158)*0.6/P158*P213</f>
        <v>-8.2725060827250623</v>
      </c>
      <c r="Q235" s="72">
        <f>(Q158-P158)*0.6/Q158*Q213</f>
        <v>-8.2725060827249788</v>
      </c>
      <c r="R235" s="72">
        <f>(R158-Q158)*0.6/R158*R213</f>
        <v>-8.2725060827250569</v>
      </c>
      <c r="S235" s="72">
        <f>(S158-R158)*0.6/S158*S213</f>
        <v>-8.2725060827250108</v>
      </c>
      <c r="T235" s="72">
        <f>(T158-S158)*0.6/T158*T213</f>
        <v>-8.2725060827250303</v>
      </c>
      <c r="U235" s="72">
        <f>(U158-T158)*0.6/U158*U213</f>
        <v>-8.272506082725064</v>
      </c>
      <c r="V235" s="72">
        <f>(V158-U158)*0.6/V158*V213</f>
        <v>-8.2725060827250729</v>
      </c>
      <c r="W235" s="72">
        <f>(W158-V158)*0.6/W158*W213</f>
        <v>-8.2725060827250374</v>
      </c>
      <c r="X235" s="72">
        <f>(X158-W158)*0.6/X158*X213</f>
        <v>-8.2725060827250321</v>
      </c>
      <c r="Y235" s="72">
        <f>(Y158-X158)*0.6/Y158*Y213</f>
        <v>-8.272506082724993</v>
      </c>
      <c r="Z235" s="72">
        <f>(Z158-Y158)*0.6/Z158*Z213</f>
        <v>-8.2725060827250303</v>
      </c>
      <c r="AA235" s="72">
        <f>(AA158-Z158)*0.6/AA158*AA213</f>
        <v>-8.2725060827250232</v>
      </c>
      <c r="AB235" s="72">
        <f>(AB158-AA158)*0.6/AB158*AB213</f>
        <v>-8.2725060827249877</v>
      </c>
      <c r="AC235" s="72">
        <f>(AC158-AB158)*0.6/AC158*AC213</f>
        <v>-8.2725060827250267</v>
      </c>
      <c r="AD235" s="72">
        <f>(AD158-AC158)*0.6/AD158*AD213</f>
        <v>-8.2725060827250534</v>
      </c>
      <c r="AE235" s="72">
        <f>(AE158-AD158)*0.6/AE158*AE213</f>
        <v>-8.2725060827250001</v>
      </c>
      <c r="AF235" s="72">
        <f>(AF158-AE158)*0.6/AF158*AF213</f>
        <v>-8.2725060827250818</v>
      </c>
      <c r="AG235" s="72">
        <f>(AG158-AF158)*0.6/AG158*AG213</f>
        <v>-8.2725060827249717</v>
      </c>
      <c r="AH235" s="72">
        <f>(AH158-AG158)*0.6/AH158*AH213</f>
        <v>-8.2725060827249681</v>
      </c>
      <c r="AI235" s="72">
        <f>(AI158-AH158)*0.6/AI158*AI213</f>
        <v>-8.2725060827250019</v>
      </c>
    </row>
    <row r="236" spans="3:35" ht="14.25" customHeight="1" thickTop="1" thickBot="1">
      <c r="C236" s="13" t="s">
        <v>11</v>
      </c>
      <c r="D236" s="8" t="s">
        <v>51</v>
      </c>
      <c r="E236" s="5">
        <f>E214*(E30-E30)/E154</f>
        <v>0</v>
      </c>
      <c r="F236" s="21">
        <f>F214*((F34-E34)+(F55-E55)+(F76-E76))/F$158</f>
        <v>-7.1497354856225647E-3</v>
      </c>
      <c r="G236" s="21">
        <f>G214*((G34-F34)+(G55-F55)+(G76-F76))/G$158</f>
        <v>0.15752417521602874</v>
      </c>
      <c r="H236" s="21">
        <f>H214*((H34-G34)+(H55-G55)+(H76-G76))/H$158</f>
        <v>0.15773615967083338</v>
      </c>
      <c r="I236" s="21">
        <f>I214*((I34-H34)+(I55-H55)+(I76-H76))/I$158</f>
        <v>8.0076952496460518E-2</v>
      </c>
      <c r="J236" s="21">
        <f>J214*((J34-I34)+(J55-I55)+(J76-I76))/J$158</f>
        <v>6.5567134996769902E-2</v>
      </c>
      <c r="K236" s="21">
        <f>K214*((K34-J34)+(K55-J55)+(K76-J76))/K$158</f>
        <v>4.9488097774259054E-2</v>
      </c>
      <c r="L236" s="21">
        <f>L214*((L34-K34)+(L55-K55)+(L76-K76))/L$158</f>
        <v>4.1215047265806812E-2</v>
      </c>
      <c r="M236" s="21">
        <f>M214*((M34-L34)+(M55-L55)+(M76-L76))/M$158</f>
        <v>3.0932596326438817E-2</v>
      </c>
      <c r="N236" s="21">
        <f>N214*((N34-M34)+(N55-M55)+(N76-M76))/N$158</f>
        <v>2.3513646032905244E-2</v>
      </c>
      <c r="O236" s="21">
        <f>O214*((O34-N34)+(O55-N55)+(O76-N76))/O$158</f>
        <v>1.7440127076429897E-2</v>
      </c>
      <c r="P236" s="21">
        <f>P214*((P34-O34)+(P55-O55)+(P76-O76))/P$158</f>
        <v>1.2491610980948527E-2</v>
      </c>
      <c r="Q236" s="21">
        <f>Q214*((Q34-P34)+(Q55-P55)+(Q76-P76))/Q$158</f>
        <v>7.9022782642185988E-3</v>
      </c>
      <c r="R236" s="21">
        <f>R214*((R34-Q34)+(R55-Q55)+(R76-Q76))/R$158</f>
        <v>4.2756290633472411E-3</v>
      </c>
      <c r="S236" s="21">
        <f>S214*((S34-R34)+(S55-R55)+(S76-R76))/S$158</f>
        <v>2.2940569399309335E-3</v>
      </c>
      <c r="T236" s="21">
        <f>T214*((T34-S34)+(T55-S55)+(T76-S76))/T$158</f>
        <v>-5.1039798192093947E-5</v>
      </c>
      <c r="U236" s="21">
        <f>U214*((U34-T34)+(U55-T55)+(U76-T76))/U$158</f>
        <v>-2.1646302383018616E-3</v>
      </c>
      <c r="V236" s="21">
        <f>V214*((V34-U34)+(V55-U55)+(V76-U76))/V$158</f>
        <v>-2.391274812977105E-3</v>
      </c>
      <c r="W236" s="21">
        <f>W214*((W34-V34)+(W55-V55)+(W76-V76))/W$158</f>
        <v>-4.0105695104335369E-3</v>
      </c>
      <c r="X236" s="21">
        <f>X214*((X34-W34)+(X55-W55)+(X76-W76))/X$158</f>
        <v>-4.1990021757295796E-3</v>
      </c>
      <c r="Y236" s="21">
        <f>Y214*((Y34-X34)+(Y55-X55)+(Y76-X76))/Y$158</f>
        <v>-5.2033658989532501E-3</v>
      </c>
      <c r="Z236" s="21">
        <f>Z214*((Z34-Y34)+(Z55-Y55)+(Z76-Y76))/Z$158</f>
        <v>-5.2089219601079212E-3</v>
      </c>
      <c r="AA236" s="21">
        <f>AA214*((AA34-Z34)+(AA55-Z55)+(AA76-Z76))/AA$158</f>
        <v>-5.6081427337213319E-3</v>
      </c>
      <c r="AB236" s="21">
        <f>AB214*((AB34-AA34)+(AB55-AA55)+(AB76-AA76))/AB$158</f>
        <v>-5.8240237622492405E-3</v>
      </c>
      <c r="AC236" s="21">
        <f>AC214*((AC34-AB34)+(AC55-AB55)+(AC76-AB76))/AC$158</f>
        <v>-5.9549178230332298E-3</v>
      </c>
      <c r="AD236" s="21">
        <f>AD214*((AD34-AC34)+(AD55-AC55)+(AD76-AC76))/AD$158</f>
        <v>-6.2215683731050271E-3</v>
      </c>
      <c r="AE236" s="21">
        <f>AE214*((AE34-AD34)+(AE55-AD55)+(AE76-AD76))/AE$158</f>
        <v>-6.6677340032130286E-3</v>
      </c>
      <c r="AF236" s="21">
        <f>AF214*((AF34-AE34)+(AF55-AE55)+(AF76-AE76))/AF$158</f>
        <v>-7.0255053100470735E-3</v>
      </c>
      <c r="AG236" s="21">
        <f>AG214*((AG34-AF34)+(AG55-AF55)+(AG76-AF76))/AG$158</f>
        <v>-7.5941268731311616E-3</v>
      </c>
      <c r="AH236" s="21">
        <f>AH214*((AH34-AG34)+(AH55-AG55)+(AH76-AG76))/AH$158</f>
        <v>-8.3050649761040318E-3</v>
      </c>
      <c r="AI236" s="21">
        <f>AI214*((AI34-AH34)+(AI55-AH55)+(AI76-AH76))/AI$158</f>
        <v>-1.9488204299194928E-2</v>
      </c>
    </row>
    <row r="237" spans="3:35" ht="14.25" customHeight="1" thickTop="1" thickBot="1">
      <c r="C237" s="13" t="s">
        <v>11</v>
      </c>
      <c r="D237" s="8" t="s">
        <v>52</v>
      </c>
      <c r="E237" s="5">
        <v>0</v>
      </c>
      <c r="F237" s="21">
        <f>((F36-E36)+(F57-E57)+(F78-E78))*F215/F158</f>
        <v>1.4277837361072463E-3</v>
      </c>
      <c r="G237" s="21">
        <f>((G36-F36)+(G57-F57)+(G78-F78))*G215/G158</f>
        <v>8.9263645863879159E-4</v>
      </c>
      <c r="H237" s="21">
        <f>((H36-G36)+(H57-G57)+(H78-G78))*H215/H158</f>
        <v>3.5378095119735012E-2</v>
      </c>
      <c r="I237" s="21">
        <f>((I36-H36)+(I57-H57)+(I78-H78))*I215/I158</f>
        <v>3.0673423273736133E-2</v>
      </c>
      <c r="J237" s="21">
        <f>((J36-I36)+(J57-I57)+(J78-I78))*J215/J158</f>
        <v>2.6807331927888506E-2</v>
      </c>
      <c r="K237" s="21">
        <f>((K36-J36)+(K57-J57)+(K78-J78))*K215/K158</f>
        <v>2.3555551335404455E-2</v>
      </c>
      <c r="L237" s="21">
        <f>((L36-K36)+(L57-K57)+(L78-K78))*L215/L158</f>
        <v>2.0672458326401189E-2</v>
      </c>
      <c r="M237" s="21">
        <f>((M36-L36)+(M57-L57)+(M78-L78))*M215/M158</f>
        <v>1.8189963159906571E-2</v>
      </c>
      <c r="N237" s="21">
        <f>((N36-M36)+(N57-M57)+(N78-M78))*N215/N158</f>
        <v>1.6537951395473229E-2</v>
      </c>
      <c r="O237" s="21">
        <f>((O36-N36)+(O57-N57)+(O78-N78))*O215/O158</f>
        <v>1.424464580828123E-2</v>
      </c>
      <c r="P237" s="21">
        <f>((P36-O36)+(P57-O57)+(P78-O78))*P215/P158</f>
        <v>1.2728048171391476E-2</v>
      </c>
      <c r="Q237" s="21">
        <f>((Q36-P36)+(Q57-P57)+(Q78-P78))*Q215/Q158</f>
        <v>1.1470009837131978E-2</v>
      </c>
      <c r="R237" s="21">
        <f>((R36-Q36)+(R57-Q57)+(R78-Q78))*R215/R158</f>
        <v>1.044618390805287E-2</v>
      </c>
      <c r="S237" s="21">
        <f>((S36-R36)+(S57-R57)+(S78-R78))*S215/S158</f>
        <v>9.6359506842414178E-3</v>
      </c>
      <c r="T237" s="21">
        <f>((T36-S36)+(T57-S57)+(T78-S78))*T215/T158</f>
        <v>9.0221938728991986E-3</v>
      </c>
      <c r="U237" s="21">
        <f>((U36-T36)+(U57-T57)+(U78-T78))*U215/U158</f>
        <v>8.5911602652043676E-3</v>
      </c>
      <c r="V237" s="21">
        <f>((V36-U36)+(V57-U57)+(V78-U78))*V215/V158</f>
        <v>8.3324123905204658E-3</v>
      </c>
      <c r="W237" s="21">
        <f>((W36-V36)+(W57-V57)+(W78-V78))*W215/W158</f>
        <v>8.23888879484376E-3</v>
      </c>
      <c r="X237" s="21">
        <f>((X36-W36)+(X57-W57)+(X78-W78))*X215/X158</f>
        <v>8.3070932005723328E-3</v>
      </c>
      <c r="Y237" s="21">
        <f>((Y36-X36)+(Y57-X57)+(Y78-X78))*Y215/Y158</f>
        <v>8.4173251216485296E-3</v>
      </c>
      <c r="Z237" s="21">
        <f>((Z36-Y36)+(Z57-Y57)+(Z78-Y78))*Z215/Z158</f>
        <v>8.8355965353638516E-3</v>
      </c>
      <c r="AA237" s="21">
        <f>((AA36-Z36)+(AA57-Z57)+(AA78-Z78))*AA215/AA158</f>
        <v>9.5198722718059219E-3</v>
      </c>
      <c r="AB237" s="21">
        <f>((AB36-AA36)+(AB57-AA57)+(AB78-AA78))*AB215/AB158</f>
        <v>1.0129233180036477E-2</v>
      </c>
      <c r="AC237" s="21">
        <f>((AC36-AB36)+(AC57-AB57)+(AC78-AB78))*AC215/AC158</f>
        <v>1.121442624231031E-2</v>
      </c>
      <c r="AD237" s="21">
        <f>((AD36-AC36)+(AD57-AC57)+(AD78-AC78))*AD215/AD158</f>
        <v>1.2467126799168777E-2</v>
      </c>
      <c r="AE237" s="21">
        <f>((AE36-AD36)+(AE57-AD57)+(AE78-AD78))*AE215/AE158</f>
        <v>1.3920577222355566E-2</v>
      </c>
      <c r="AF237" s="21">
        <f>((AF36-AE36)+(AF57-AE57)+(AF78-AE78))*AF215/AF158</f>
        <v>1.5903202055696637E-2</v>
      </c>
      <c r="AG237" s="21">
        <f>((AG36-AF36)+(AG57-AF57)+(AG78-AF78))*AG215/AG158</f>
        <v>1.8283109147530442E-2</v>
      </c>
      <c r="AH237" s="21">
        <f>((AH36-AG36)+(AH57-AG57)+(AH78-AG78))*AH215/AH158</f>
        <v>1.3508847000479256E-2</v>
      </c>
      <c r="AI237" s="21">
        <f>((AI36-AH36)+(AI57-AH57)+(AI78-AH78))*AI215/AI158</f>
        <v>4.620526619595279E-2</v>
      </c>
    </row>
    <row r="238" spans="3:35" ht="14.25" customHeight="1" thickTop="1" thickBot="1">
      <c r="C238" s="13" t="s">
        <v>11</v>
      </c>
      <c r="D238" s="8" t="s">
        <v>53</v>
      </c>
      <c r="E238" s="5">
        <v>0</v>
      </c>
      <c r="F238" s="21">
        <f>(F158-E158)*0.6/F158*F216</f>
        <v>-19.026763990267582</v>
      </c>
      <c r="G238" s="21">
        <f>(G158-F158)*0.6/G158*G216</f>
        <v>-19.026763990267625</v>
      </c>
      <c r="H238" s="21">
        <f>(H158-G158)*0.6/H158*H216</f>
        <v>-19.02676399026755</v>
      </c>
      <c r="I238" s="21">
        <f>(I158-H158)*0.6/I158*I216</f>
        <v>-19.026763990267479</v>
      </c>
      <c r="J238" s="21">
        <f>(J158-I158)*0.6/J158*J216</f>
        <v>-19.026763990267561</v>
      </c>
      <c r="K238" s="21">
        <f>(K158-J158)*0.6/K158*K216</f>
        <v>-19.026763990267657</v>
      </c>
      <c r="L238" s="21">
        <f>(L158-K158)*0.6/L158*L216</f>
        <v>-19.026763990267543</v>
      </c>
      <c r="M238" s="21">
        <f>(M158-L158)*0.6/M158*M216</f>
        <v>-19.02676399026749</v>
      </c>
      <c r="N238" s="21">
        <f>(N158-M158)*0.6/N158*N216</f>
        <v>-19.026763990267487</v>
      </c>
      <c r="O238" s="21">
        <f>(O158-N158)*0.6/O158*O216</f>
        <v>-19.026763990267636</v>
      </c>
      <c r="P238" s="21">
        <f>(P158-O158)*0.6/P158*P216</f>
        <v>-19.026763990267643</v>
      </c>
      <c r="Q238" s="21">
        <f>(Q158-P158)*0.6/Q158*Q216</f>
        <v>-19.026763990267451</v>
      </c>
      <c r="R238" s="21">
        <f>(R158-Q158)*0.6/R158*R216</f>
        <v>-19.026763990267629</v>
      </c>
      <c r="S238" s="21">
        <f>(S158-R158)*0.6/S158*S216</f>
        <v>-19.026763990267526</v>
      </c>
      <c r="T238" s="21">
        <f>(T158-S158)*0.6/T158*T216</f>
        <v>-19.026763990267572</v>
      </c>
      <c r="U238" s="21">
        <f>(U158-T158)*0.6/U158*U216</f>
        <v>-19.026763990267646</v>
      </c>
      <c r="V238" s="21">
        <f>(V158-U158)*0.6/V158*V216</f>
        <v>-19.026763990267668</v>
      </c>
      <c r="W238" s="21">
        <f>(W158-V158)*0.6/W158*W216</f>
        <v>-19.026763990267586</v>
      </c>
      <c r="X238" s="21">
        <f>(X158-W158)*0.6/X158*X216</f>
        <v>-19.026763990267575</v>
      </c>
      <c r="Y238" s="21">
        <f>(Y158-X158)*0.6/Y158*Y216</f>
        <v>-19.026763990267483</v>
      </c>
      <c r="Z238" s="21">
        <f>(Z158-Y158)*0.6/Z158*Z216</f>
        <v>-19.026763990267572</v>
      </c>
      <c r="AA238" s="21">
        <f>(AA158-Z158)*0.6/AA158*AA216</f>
        <v>-19.026763990267554</v>
      </c>
      <c r="AB238" s="21">
        <f>(AB158-AA158)*0.6/AB158*AB216</f>
        <v>-19.026763990267472</v>
      </c>
      <c r="AC238" s="21">
        <f>(AC158-AB158)*0.6/AC158*AC216</f>
        <v>-19.026763990267561</v>
      </c>
      <c r="AD238" s="21">
        <f>(AD158-AC158)*0.6/AD158*AD216</f>
        <v>-19.026763990267622</v>
      </c>
      <c r="AE238" s="21">
        <f>(AE158-AD158)*0.6/AE158*AE216</f>
        <v>-19.026763990267497</v>
      </c>
      <c r="AF238" s="21">
        <f>(AF158-AE158)*0.6/AF158*AF216</f>
        <v>-19.026763990267689</v>
      </c>
      <c r="AG238" s="21">
        <f>(AG158-AF158)*0.6/AG158*AG216</f>
        <v>-19.026763990267433</v>
      </c>
      <c r="AH238" s="21">
        <f>(AH158-AG158)*0.6/AH158*AH216</f>
        <v>-19.026763990267426</v>
      </c>
      <c r="AI238" s="21">
        <f>(AI158-AH158)*0.6/AI158*AI216</f>
        <v>-19.026763990267504</v>
      </c>
    </row>
    <row r="239" spans="3:35" ht="14.25" customHeight="1" thickTop="1" thickBot="1">
      <c r="C239" s="13" t="s">
        <v>11</v>
      </c>
      <c r="D239" s="8" t="s">
        <v>54</v>
      </c>
      <c r="E239" s="5">
        <v>0</v>
      </c>
      <c r="F239" s="21">
        <f>F217*(F157-E157)*1.08/F157</f>
        <v>0</v>
      </c>
      <c r="G239" s="21">
        <f>G217*(G157-F157)*1.08/G157</f>
        <v>0</v>
      </c>
      <c r="H239" s="21">
        <f>H217*(H157-G157)*1.08/H157</f>
        <v>0</v>
      </c>
      <c r="I239" s="21">
        <f>I217*(I157-H157)*1.08/I157</f>
        <v>0</v>
      </c>
      <c r="J239" s="21">
        <f>J217*(J157-I157)*1.08/J157</f>
        <v>0</v>
      </c>
      <c r="K239" s="21">
        <f>K217*(K157-J157)*1.08/K157</f>
        <v>0</v>
      </c>
      <c r="L239" s="21">
        <f>L217*(L157-K157)*1.08/L157</f>
        <v>0</v>
      </c>
      <c r="M239" s="21">
        <f>M217*(M157-L157)*1.08/M157</f>
        <v>0</v>
      </c>
      <c r="N239" s="21">
        <f>N217*(N157-M157)*1.08/N157</f>
        <v>0</v>
      </c>
      <c r="O239" s="21">
        <f>O217*(O157-N157)*1.08/O157</f>
        <v>0</v>
      </c>
      <c r="P239" s="21">
        <f>P217*(P157-O157)*1.08/P157</f>
        <v>0</v>
      </c>
      <c r="Q239" s="21">
        <f>Q217*(Q157-P157)*1.08/Q157</f>
        <v>0</v>
      </c>
      <c r="R239" s="21">
        <f>R217*(R157-Q157)*1.08/R157</f>
        <v>0</v>
      </c>
      <c r="S239" s="21">
        <f>S217*(S157-R157)*1.08/S157</f>
        <v>0</v>
      </c>
      <c r="T239" s="21">
        <f>T217*(T157-S157)*1.08/T157</f>
        <v>0</v>
      </c>
      <c r="U239" s="21">
        <f>U217*(U157-T157)*1.08/U157</f>
        <v>0</v>
      </c>
      <c r="V239" s="21">
        <f>V217*(V157-U157)*1.08/V157</f>
        <v>0</v>
      </c>
      <c r="W239" s="21">
        <f>W217*(W157-V157)*1.08/W157</f>
        <v>0</v>
      </c>
      <c r="X239" s="21">
        <f>X217*(X157-W157)*1.08/X157</f>
        <v>0</v>
      </c>
      <c r="Y239" s="21">
        <f>Y217*(Y157-X157)*1.08/Y157</f>
        <v>0</v>
      </c>
      <c r="Z239" s="21">
        <f>Z217*(Z157-Y157)*1.08/Z157</f>
        <v>0</v>
      </c>
      <c r="AA239" s="21">
        <f>AA217*(AA157-Z157)*1.08/AA157</f>
        <v>0</v>
      </c>
      <c r="AB239" s="21">
        <f>AB217*(AB157-AA157)*1.08/AB157</f>
        <v>0</v>
      </c>
      <c r="AC239" s="21">
        <f>AC217*(AC157-AB157)*1.08/AC157</f>
        <v>0</v>
      </c>
      <c r="AD239" s="21">
        <f>AD217*(AD157-AC157)*1.08/AD157</f>
        <v>0</v>
      </c>
      <c r="AE239" s="21">
        <f>AE217*(AE157-AD157)*1.08/AE157</f>
        <v>0</v>
      </c>
      <c r="AF239" s="21">
        <f>AF217*(AF157-AE157)*1.08/AF157</f>
        <v>0</v>
      </c>
      <c r="AG239" s="21">
        <f>AG217*(AG157-AF157)*1.08/AG157</f>
        <v>0</v>
      </c>
      <c r="AH239" s="21">
        <f>AH217*(AH157-AG157)*1.08/AH157</f>
        <v>0</v>
      </c>
      <c r="AI239" s="21">
        <f>AI217*(AI157-AH157)*1.08/AI157</f>
        <v>0</v>
      </c>
    </row>
    <row r="240" spans="3:35" ht="14.25" customHeight="1" thickTop="1"/>
    <row r="242" spans="1:35" ht="14.25" customHeight="1">
      <c r="B242" s="62" t="s">
        <v>56</v>
      </c>
      <c r="E242" s="1">
        <v>2020</v>
      </c>
      <c r="F242" s="1">
        <v>2021</v>
      </c>
      <c r="G242" s="1">
        <v>2022</v>
      </c>
      <c r="H242" s="1">
        <v>2023</v>
      </c>
      <c r="I242" s="1">
        <v>2024</v>
      </c>
      <c r="J242" s="1">
        <v>2025</v>
      </c>
      <c r="K242" s="1">
        <v>2026</v>
      </c>
      <c r="L242" s="1">
        <v>2027</v>
      </c>
      <c r="M242" s="1">
        <v>2028</v>
      </c>
      <c r="N242" s="1">
        <v>2029</v>
      </c>
      <c r="O242" s="1">
        <v>2030</v>
      </c>
      <c r="P242" s="1">
        <v>2031</v>
      </c>
      <c r="Q242" s="1">
        <v>2032</v>
      </c>
      <c r="R242" s="1">
        <v>2033</v>
      </c>
      <c r="S242" s="1">
        <v>2034</v>
      </c>
      <c r="T242" s="1">
        <v>2035</v>
      </c>
      <c r="U242" s="1">
        <v>2036</v>
      </c>
      <c r="V242" s="1">
        <v>2037</v>
      </c>
      <c r="W242" s="1">
        <v>2038</v>
      </c>
      <c r="X242" s="1">
        <v>2039</v>
      </c>
      <c r="Y242" s="1">
        <v>2040</v>
      </c>
      <c r="Z242" s="1">
        <v>2041</v>
      </c>
      <c r="AA242" s="1">
        <v>2042</v>
      </c>
      <c r="AB242" s="1">
        <v>2043</v>
      </c>
      <c r="AC242" s="1">
        <v>2044</v>
      </c>
      <c r="AD242" s="1">
        <v>2045</v>
      </c>
      <c r="AE242" s="1">
        <v>2046</v>
      </c>
      <c r="AF242" s="1">
        <v>2047</v>
      </c>
      <c r="AG242" s="1">
        <v>2048</v>
      </c>
      <c r="AH242" s="1">
        <v>2049</v>
      </c>
      <c r="AI242" s="1">
        <v>2050</v>
      </c>
    </row>
    <row r="243" spans="1:35" ht="14.25" customHeight="1" thickBot="1">
      <c r="A243" s="11"/>
    </row>
    <row r="244" spans="1:35" ht="14.25" customHeight="1" thickTop="1" thickBot="1">
      <c r="C244" s="13" t="s">
        <v>5</v>
      </c>
      <c r="D244" s="73" t="s">
        <v>6</v>
      </c>
      <c r="E244" s="74">
        <v>399.20000000000005</v>
      </c>
      <c r="F244" s="74">
        <v>378.11184086456689</v>
      </c>
      <c r="G244" s="74">
        <v>358.13768587673229</v>
      </c>
      <c r="H244" s="74">
        <v>339.21868659776356</v>
      </c>
      <c r="I244" s="74">
        <v>321.29910331949134</v>
      </c>
      <c r="J244" s="74">
        <v>304.32614084235354</v>
      </c>
      <c r="K244" s="74">
        <v>288.24979292863662</v>
      </c>
      <c r="L244" s="74">
        <v>273.02269497263774</v>
      </c>
      <c r="M244" s="74">
        <v>258.59998445368029</v>
      </c>
      <c r="N244" s="74">
        <v>244.93916876084523</v>
      </c>
      <c r="O244" s="74">
        <v>232</v>
      </c>
      <c r="P244" s="74">
        <v>219.74435641427732</v>
      </c>
      <c r="Q244" s="74">
        <v>208.13613006864199</v>
      </c>
      <c r="R244" s="74">
        <v>197.14112046763813</v>
      </c>
      <c r="S244" s="74">
        <v>186.72693379289075</v>
      </c>
      <c r="T244" s="74">
        <v>176.862887463492</v>
      </c>
      <c r="U244" s="74">
        <v>167.51991973808538</v>
      </c>
      <c r="V244" s="74">
        <v>158.6705040923145</v>
      </c>
      <c r="W244" s="74">
        <v>150.28856811937331</v>
      </c>
      <c r="X244" s="74">
        <v>142.34941671471967</v>
      </c>
      <c r="Y244" s="74">
        <v>134.82965931863725</v>
      </c>
      <c r="Z244" s="74">
        <v>127.7071410022854</v>
      </c>
      <c r="AA244" s="74">
        <v>120.96087719420073</v>
      </c>
      <c r="AB244" s="74">
        <v>114.57099185493998</v>
      </c>
      <c r="AC244" s="74">
        <v>108.51865891771205</v>
      </c>
      <c r="AD244" s="74">
        <v>102.7860468224703</v>
      </c>
      <c r="AE244" s="74">
        <v>97.356265980049614</v>
      </c>
      <c r="AF244" s="74">
        <v>92.213319011565531</v>
      </c>
      <c r="AG244" s="74">
        <v>87.342053616469443</v>
      </c>
      <c r="AH244" s="74">
        <v>82.728117930398184</v>
      </c>
      <c r="AI244" s="74">
        <v>78.357918241292168</v>
      </c>
    </row>
    <row r="245" spans="1:35" ht="14.25" customHeight="1" thickTop="1" thickBot="1">
      <c r="C245" s="13" t="s">
        <v>5</v>
      </c>
      <c r="D245" s="73" t="s">
        <v>57</v>
      </c>
      <c r="E245" s="74">
        <v>1300</v>
      </c>
      <c r="F245" s="26">
        <v>1293.5</v>
      </c>
      <c r="G245" s="26">
        <v>1287.0325</v>
      </c>
      <c r="H245" s="26">
        <v>1280.5973375000001</v>
      </c>
      <c r="I245" s="26">
        <v>1274.1943508125</v>
      </c>
      <c r="J245" s="26">
        <v>1267.8233790584375</v>
      </c>
      <c r="K245" s="26">
        <v>1261.4842621631453</v>
      </c>
      <c r="L245" s="26">
        <v>1255.1768408523296</v>
      </c>
      <c r="M245" s="26">
        <v>1248.9009566480679</v>
      </c>
      <c r="N245" s="26">
        <v>1242.6564518648277</v>
      </c>
      <c r="O245" s="26">
        <v>1236.4431696055035</v>
      </c>
      <c r="P245" s="26">
        <v>1230.260953757476</v>
      </c>
      <c r="Q245" s="26">
        <v>1224.1096489886886</v>
      </c>
      <c r="R245" s="26">
        <v>1217.9891007437452</v>
      </c>
      <c r="S245" s="26">
        <v>1211.8991552400264</v>
      </c>
      <c r="T245" s="26">
        <v>1205.8396594638264</v>
      </c>
      <c r="U245" s="26">
        <v>1199.8104611665071</v>
      </c>
      <c r="V245" s="26">
        <v>1193.8114088606746</v>
      </c>
      <c r="W245" s="26">
        <v>1187.8423518163713</v>
      </c>
      <c r="X245" s="26">
        <v>1181.9031400572894</v>
      </c>
      <c r="Y245" s="26">
        <v>1175.993624357003</v>
      </c>
      <c r="Z245" s="26">
        <v>1170.1136562352181</v>
      </c>
      <c r="AA245" s="26">
        <v>1164.263087954042</v>
      </c>
      <c r="AB245" s="26">
        <v>1158.4417725142719</v>
      </c>
      <c r="AC245" s="26">
        <v>1152.6495636517004</v>
      </c>
      <c r="AD245" s="26">
        <v>1146.8863158334418</v>
      </c>
      <c r="AE245" s="26">
        <v>1141.1518842542746</v>
      </c>
      <c r="AF245" s="26">
        <v>1135.4461248330033</v>
      </c>
      <c r="AG245" s="26">
        <v>1129.7688942088382</v>
      </c>
      <c r="AH245" s="26">
        <v>1124.120049737794</v>
      </c>
      <c r="AI245" s="26">
        <v>1118.499449489105</v>
      </c>
    </row>
    <row r="246" spans="1:35" ht="14.25" customHeight="1" thickTop="1" thickBot="1">
      <c r="C246" s="13" t="s">
        <v>5</v>
      </c>
      <c r="D246" s="73" t="s">
        <v>58</v>
      </c>
      <c r="E246" s="74">
        <v>1200</v>
      </c>
      <c r="F246" s="26">
        <v>1194</v>
      </c>
      <c r="G246" s="26">
        <v>1188.03</v>
      </c>
      <c r="H246" s="26">
        <v>1182.0898500000001</v>
      </c>
      <c r="I246" s="26">
        <v>1176.17940075</v>
      </c>
      <c r="J246" s="26">
        <v>1170.2985037462499</v>
      </c>
      <c r="K246" s="26">
        <v>1164.4470112275187</v>
      </c>
      <c r="L246" s="26">
        <v>1158.6247761713812</v>
      </c>
      <c r="M246" s="26">
        <v>1152.8316522905243</v>
      </c>
      <c r="N246" s="26">
        <v>1147.0674940290717</v>
      </c>
      <c r="O246" s="26">
        <v>1141.3321565589263</v>
      </c>
      <c r="P246" s="26">
        <v>1135.6254957761316</v>
      </c>
      <c r="Q246" s="26">
        <v>1129.9473682972509</v>
      </c>
      <c r="R246" s="26">
        <v>1124.2976314557648</v>
      </c>
      <c r="S246" s="26">
        <v>1118.6761432984858</v>
      </c>
      <c r="T246" s="26">
        <v>1113.0827625819934</v>
      </c>
      <c r="U246" s="26">
        <v>1107.5173487690834</v>
      </c>
      <c r="V246" s="26">
        <v>1101.979762025238</v>
      </c>
      <c r="W246" s="26">
        <v>1096.4698632151117</v>
      </c>
      <c r="X246" s="26">
        <v>1090.987513899036</v>
      </c>
      <c r="Y246" s="26">
        <v>1085.5325763295409</v>
      </c>
      <c r="Z246" s="26">
        <v>1080.1049134478933</v>
      </c>
      <c r="AA246" s="26">
        <v>1074.7043888806538</v>
      </c>
      <c r="AB246" s="26">
        <v>1069.3308669362505</v>
      </c>
      <c r="AC246" s="26">
        <v>1063.9842126015692</v>
      </c>
      <c r="AD246" s="26">
        <v>1058.6642915385614</v>
      </c>
      <c r="AE246" s="26">
        <v>1053.3709700808686</v>
      </c>
      <c r="AF246" s="26">
        <v>1048.1041152304642</v>
      </c>
      <c r="AG246" s="26">
        <v>1042.863594654312</v>
      </c>
      <c r="AH246" s="26">
        <v>1037.6492766810404</v>
      </c>
      <c r="AI246" s="26">
        <v>1032.4610302976353</v>
      </c>
    </row>
    <row r="247" spans="1:35" ht="14.25" customHeight="1" thickTop="1" thickBot="1">
      <c r="C247" s="13" t="s">
        <v>5</v>
      </c>
      <c r="D247" s="75" t="s">
        <v>59</v>
      </c>
      <c r="E247" s="74">
        <v>4.99E-2</v>
      </c>
      <c r="F247" s="26">
        <v>5.0398999999999999E-2</v>
      </c>
      <c r="G247" s="26">
        <v>5.0902990000000002E-2</v>
      </c>
      <c r="H247" s="26">
        <v>5.1412019900000008E-2</v>
      </c>
      <c r="I247" s="26">
        <v>5.1926140099000005E-2</v>
      </c>
      <c r="J247" s="26">
        <v>5.244540149999001E-2</v>
      </c>
      <c r="K247" s="26">
        <v>5.2969855514989908E-2</v>
      </c>
      <c r="L247" s="26">
        <v>5.3499554070139808E-2</v>
      </c>
      <c r="M247" s="26">
        <v>5.4034549610841205E-2</v>
      </c>
      <c r="N247" s="26">
        <v>5.4574895106949614E-2</v>
      </c>
      <c r="O247" s="26">
        <v>5.5120644058019114E-2</v>
      </c>
      <c r="P247" s="26">
        <v>5.5671850498599303E-2</v>
      </c>
      <c r="Q247" s="26">
        <v>5.6228569003585298E-2</v>
      </c>
      <c r="R247" s="26">
        <v>5.6790854693621148E-2</v>
      </c>
      <c r="S247" s="26">
        <v>5.7358763240557366E-2</v>
      </c>
      <c r="T247" s="26">
        <v>5.7932350872962939E-2</v>
      </c>
      <c r="U247" s="26">
        <v>5.8511674381692566E-2</v>
      </c>
      <c r="V247" s="26">
        <v>5.9096791125509494E-2</v>
      </c>
      <c r="W247" s="26">
        <v>5.9687759036764591E-2</v>
      </c>
      <c r="X247" s="26">
        <v>6.0284636627132238E-2</v>
      </c>
      <c r="Y247" s="26">
        <v>6.0887482993403561E-2</v>
      </c>
      <c r="Z247" s="26">
        <v>6.1496357823337594E-2</v>
      </c>
      <c r="AA247" s="26">
        <v>6.2111321401570968E-2</v>
      </c>
      <c r="AB247" s="26">
        <v>6.2732434615586669E-2</v>
      </c>
      <c r="AC247" s="26">
        <v>6.3359758961742535E-2</v>
      </c>
      <c r="AD247" s="26">
        <v>0.2495</v>
      </c>
      <c r="AE247" s="26">
        <v>7.7344999999999997</v>
      </c>
      <c r="AF247" s="26">
        <v>15.2195</v>
      </c>
      <c r="AG247" s="26">
        <v>22.704499999999999</v>
      </c>
      <c r="AH247" s="26">
        <v>30.189499999999999</v>
      </c>
      <c r="AI247" s="26">
        <v>38.921999999999997</v>
      </c>
    </row>
    <row r="248" spans="1:35" ht="16" thickTop="1" thickBot="1"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</row>
    <row r="249" spans="1:35" ht="16" thickTop="1" thickBot="1">
      <c r="C249" s="13" t="s">
        <v>9</v>
      </c>
      <c r="D249" s="73" t="s">
        <v>6</v>
      </c>
      <c r="E249" s="26">
        <v>399.20000000000005</v>
      </c>
      <c r="F249" s="26">
        <v>378.11184086456689</v>
      </c>
      <c r="G249" s="26">
        <v>358.13768587673229</v>
      </c>
      <c r="H249" s="26">
        <v>339.21868659776356</v>
      </c>
      <c r="I249" s="26">
        <v>321.29910331949134</v>
      </c>
      <c r="J249" s="26">
        <v>304.32614084235354</v>
      </c>
      <c r="K249" s="26">
        <v>288.24979292863662</v>
      </c>
      <c r="L249" s="26">
        <v>273.02269497263774</v>
      </c>
      <c r="M249" s="26">
        <v>258.59998445368029</v>
      </c>
      <c r="N249" s="26">
        <v>244.93916876084523</v>
      </c>
      <c r="O249" s="26">
        <v>232</v>
      </c>
      <c r="P249" s="26">
        <v>219.74435641427732</v>
      </c>
      <c r="Q249" s="26">
        <v>208.13613006864199</v>
      </c>
      <c r="R249" s="26">
        <v>197.14112046763813</v>
      </c>
      <c r="S249" s="26">
        <v>186.72693379289075</v>
      </c>
      <c r="T249" s="26">
        <v>176.862887463492</v>
      </c>
      <c r="U249" s="26">
        <v>167.51991973808538</v>
      </c>
      <c r="V249" s="26">
        <v>158.6705040923145</v>
      </c>
      <c r="W249" s="26">
        <v>150.28856811937331</v>
      </c>
      <c r="X249" s="26">
        <v>142.34941671471967</v>
      </c>
      <c r="Y249" s="26">
        <v>134.82965931863725</v>
      </c>
      <c r="Z249" s="26">
        <v>127.7071410022854</v>
      </c>
      <c r="AA249" s="26">
        <v>120.96087719420073</v>
      </c>
      <c r="AB249" s="26">
        <v>114.57099185493998</v>
      </c>
      <c r="AC249" s="26">
        <v>108.51865891771205</v>
      </c>
      <c r="AD249" s="26">
        <v>102.7860468224703</v>
      </c>
      <c r="AE249" s="26">
        <v>97.356265980049614</v>
      </c>
      <c r="AF249" s="26">
        <v>92.213319011565531</v>
      </c>
      <c r="AG249" s="26">
        <v>87.342053616469443</v>
      </c>
      <c r="AH249" s="26">
        <v>82.728117930398184</v>
      </c>
      <c r="AI249" s="26">
        <v>78.357918241292168</v>
      </c>
    </row>
    <row r="250" spans="1:35" ht="16" thickTop="1" thickBot="1">
      <c r="C250" s="13" t="s">
        <v>9</v>
      </c>
      <c r="D250" s="73" t="s">
        <v>57</v>
      </c>
      <c r="E250" s="26">
        <v>1300</v>
      </c>
      <c r="F250" s="26">
        <v>1293.5</v>
      </c>
      <c r="G250" s="26">
        <v>1287.0325</v>
      </c>
      <c r="H250" s="26">
        <v>1280.5973375000001</v>
      </c>
      <c r="I250" s="26">
        <v>1274.1943508125</v>
      </c>
      <c r="J250" s="26">
        <v>1267.8233790584375</v>
      </c>
      <c r="K250" s="26">
        <v>1261.4842621631453</v>
      </c>
      <c r="L250" s="26">
        <v>1255.1768408523296</v>
      </c>
      <c r="M250" s="26">
        <v>1248.9009566480679</v>
      </c>
      <c r="N250" s="26">
        <v>1242.6564518648277</v>
      </c>
      <c r="O250" s="26">
        <v>1236.4431696055035</v>
      </c>
      <c r="P250" s="26">
        <v>1230.260953757476</v>
      </c>
      <c r="Q250" s="26">
        <v>1224.1096489886886</v>
      </c>
      <c r="R250" s="26">
        <v>1217.9891007437452</v>
      </c>
      <c r="S250" s="26">
        <v>1211.8991552400264</v>
      </c>
      <c r="T250" s="26">
        <v>1205.8396594638264</v>
      </c>
      <c r="U250" s="26">
        <v>1199.8104611665071</v>
      </c>
      <c r="V250" s="26">
        <v>1193.8114088606746</v>
      </c>
      <c r="W250" s="26">
        <v>1187.8423518163713</v>
      </c>
      <c r="X250" s="26">
        <v>1181.9031400572894</v>
      </c>
      <c r="Y250" s="26">
        <v>1175.993624357003</v>
      </c>
      <c r="Z250" s="26">
        <v>1170.1136562352181</v>
      </c>
      <c r="AA250" s="26">
        <v>1164.263087954042</v>
      </c>
      <c r="AB250" s="26">
        <v>1158.4417725142719</v>
      </c>
      <c r="AC250" s="26">
        <v>1152.6495636517004</v>
      </c>
      <c r="AD250" s="26">
        <v>1146.8863158334418</v>
      </c>
      <c r="AE250" s="26">
        <v>1141.1518842542746</v>
      </c>
      <c r="AF250" s="26">
        <v>1135.4461248330033</v>
      </c>
      <c r="AG250" s="26">
        <v>1129.7688942088382</v>
      </c>
      <c r="AH250" s="26">
        <v>1124.120049737794</v>
      </c>
      <c r="AI250" s="26">
        <v>1118.499449489105</v>
      </c>
    </row>
    <row r="251" spans="1:35" ht="16" thickTop="1" thickBot="1">
      <c r="C251" s="13" t="s">
        <v>9</v>
      </c>
      <c r="D251" s="73" t="s">
        <v>58</v>
      </c>
      <c r="E251" s="26">
        <v>1200</v>
      </c>
      <c r="F251" s="26">
        <v>1194</v>
      </c>
      <c r="G251" s="26">
        <v>1188.03</v>
      </c>
      <c r="H251" s="26">
        <v>1182.0898500000001</v>
      </c>
      <c r="I251" s="26">
        <v>1176.17940075</v>
      </c>
      <c r="J251" s="26">
        <v>1170.2985037462499</v>
      </c>
      <c r="K251" s="26">
        <v>1164.4470112275187</v>
      </c>
      <c r="L251" s="26">
        <v>1158.6247761713812</v>
      </c>
      <c r="M251" s="26">
        <v>1152.8316522905243</v>
      </c>
      <c r="N251" s="26">
        <v>1147.0674940290717</v>
      </c>
      <c r="O251" s="26">
        <v>1141.3321565589263</v>
      </c>
      <c r="P251" s="26">
        <v>1135.6254957761316</v>
      </c>
      <c r="Q251" s="26">
        <v>1129.9473682972509</v>
      </c>
      <c r="R251" s="26">
        <v>1124.2976314557648</v>
      </c>
      <c r="S251" s="26">
        <v>1118.6761432984858</v>
      </c>
      <c r="T251" s="26">
        <v>1113.0827625819934</v>
      </c>
      <c r="U251" s="26">
        <v>1107.5173487690834</v>
      </c>
      <c r="V251" s="26">
        <v>1101.979762025238</v>
      </c>
      <c r="W251" s="26">
        <v>1096.4698632151117</v>
      </c>
      <c r="X251" s="26">
        <v>1090.987513899036</v>
      </c>
      <c r="Y251" s="26">
        <v>1085.5325763295409</v>
      </c>
      <c r="Z251" s="26">
        <v>1080.1049134478933</v>
      </c>
      <c r="AA251" s="26">
        <v>1074.7043888806538</v>
      </c>
      <c r="AB251" s="26">
        <v>1069.3308669362505</v>
      </c>
      <c r="AC251" s="26">
        <v>1063.9842126015692</v>
      </c>
      <c r="AD251" s="26">
        <v>1058.6642915385614</v>
      </c>
      <c r="AE251" s="26">
        <v>1053.3709700808686</v>
      </c>
      <c r="AF251" s="26">
        <v>1048.1041152304642</v>
      </c>
      <c r="AG251" s="26">
        <v>1042.863594654312</v>
      </c>
      <c r="AH251" s="26">
        <v>1037.6492766810404</v>
      </c>
      <c r="AI251" s="26">
        <v>1032.4610302976353</v>
      </c>
    </row>
    <row r="252" spans="1:35" s="74" customFormat="1" ht="16" thickTop="1" thickBot="1">
      <c r="C252" s="13" t="s">
        <v>9</v>
      </c>
      <c r="D252" s="75" t="s">
        <v>59</v>
      </c>
      <c r="E252" s="26">
        <v>4.99E-2</v>
      </c>
      <c r="F252" s="26">
        <v>5.0398999999999999E-2</v>
      </c>
      <c r="G252" s="26">
        <v>5.0902990000000002E-2</v>
      </c>
      <c r="H252" s="26">
        <v>5.1412019900000008E-2</v>
      </c>
      <c r="I252" s="26">
        <v>5.1926140099000005E-2</v>
      </c>
      <c r="J252" s="26">
        <v>5.244540149999001E-2</v>
      </c>
      <c r="K252" s="26">
        <v>5.2969855514989908E-2</v>
      </c>
      <c r="L252" s="26">
        <v>5.3499554070139808E-2</v>
      </c>
      <c r="M252" s="26">
        <v>5.4034549610841205E-2</v>
      </c>
      <c r="N252" s="26">
        <v>5.4574895106949614E-2</v>
      </c>
      <c r="O252" s="26">
        <v>5.5120644058019114E-2</v>
      </c>
      <c r="P252" s="26">
        <v>5.5671850498599303E-2</v>
      </c>
      <c r="Q252" s="26">
        <v>5.6228569003585298E-2</v>
      </c>
      <c r="R252" s="26">
        <v>5.6790854693621148E-2</v>
      </c>
      <c r="S252" s="26">
        <v>5.7358763240557366E-2</v>
      </c>
      <c r="T252" s="26">
        <v>5.7932350872962939E-2</v>
      </c>
      <c r="U252" s="26">
        <v>5.8511674381692566E-2</v>
      </c>
      <c r="V252" s="26">
        <v>5.9096791125509494E-2</v>
      </c>
      <c r="W252" s="26">
        <v>5.9687759036764591E-2</v>
      </c>
      <c r="X252" s="26">
        <v>6.0284636627132238E-2</v>
      </c>
      <c r="Y252" s="26">
        <v>6.0887482993403561E-2</v>
      </c>
      <c r="Z252" s="26">
        <v>6.1496357823337594E-2</v>
      </c>
      <c r="AA252" s="26">
        <v>6.2111321401570968E-2</v>
      </c>
      <c r="AB252" s="26">
        <v>6.2732434615586669E-2</v>
      </c>
      <c r="AC252" s="26">
        <v>6.3359758961742535E-2</v>
      </c>
      <c r="AD252" s="26">
        <v>0.2495</v>
      </c>
      <c r="AE252" s="26">
        <v>7.7344999999999997</v>
      </c>
      <c r="AF252" s="26">
        <v>15.2195</v>
      </c>
      <c r="AG252" s="26">
        <v>22.704499999999999</v>
      </c>
      <c r="AH252" s="26">
        <v>30.189499999999999</v>
      </c>
      <c r="AI252" s="26">
        <v>38.921999999999997</v>
      </c>
    </row>
    <row r="253" spans="1:35" s="74" customFormat="1" ht="16" thickTop="1" thickBot="1">
      <c r="D253" s="75"/>
    </row>
    <row r="254" spans="1:35" s="74" customFormat="1" ht="16" thickTop="1" thickBot="1">
      <c r="C254" s="13" t="s">
        <v>11</v>
      </c>
      <c r="D254" s="73" t="s">
        <v>6</v>
      </c>
      <c r="E254" s="74">
        <v>399.20000000000005</v>
      </c>
      <c r="F254" s="74">
        <v>438.19600000000003</v>
      </c>
      <c r="G254" s="74">
        <v>443.45435200000003</v>
      </c>
      <c r="H254" s="74">
        <v>448.77580422400001</v>
      </c>
      <c r="I254" s="74">
        <v>454.161113874688</v>
      </c>
      <c r="J254" s="74">
        <v>459.61104724118428</v>
      </c>
      <c r="K254" s="74">
        <v>465.12637980807853</v>
      </c>
      <c r="L254" s="74">
        <v>470.70789636577547</v>
      </c>
      <c r="M254" s="74">
        <v>476.35639112216478</v>
      </c>
      <c r="N254" s="74">
        <v>482.07266781563078</v>
      </c>
      <c r="O254" s="74">
        <v>487.85753982941833</v>
      </c>
      <c r="P254" s="74">
        <v>493.71183030737137</v>
      </c>
      <c r="Q254" s="74">
        <v>499.63637227105983</v>
      </c>
      <c r="R254" s="74">
        <v>505.63200873831255</v>
      </c>
      <c r="S254" s="74">
        <v>511.6995928431723</v>
      </c>
      <c r="T254" s="74">
        <v>517.83998795729042</v>
      </c>
      <c r="U254" s="74">
        <v>524.05406781277793</v>
      </c>
      <c r="V254" s="74">
        <v>530.34271662653123</v>
      </c>
      <c r="W254" s="74">
        <v>536.70682922604965</v>
      </c>
      <c r="X254" s="74">
        <v>543.14731117676229</v>
      </c>
      <c r="Y254" s="74">
        <v>549.66507891088349</v>
      </c>
      <c r="Z254" s="74">
        <v>556.26105985781408</v>
      </c>
      <c r="AA254" s="74">
        <v>562.93619257610783</v>
      </c>
      <c r="AB254" s="74">
        <v>569.69142688702118</v>
      </c>
      <c r="AC254" s="74">
        <v>576.52772400966546</v>
      </c>
      <c r="AD254" s="74">
        <v>583.4460566977815</v>
      </c>
      <c r="AE254" s="74">
        <v>590.44740937815493</v>
      </c>
      <c r="AF254" s="74">
        <v>597.53277829069282</v>
      </c>
      <c r="AG254" s="74">
        <v>604.70317163018115</v>
      </c>
      <c r="AH254" s="74">
        <v>611.95960968974327</v>
      </c>
      <c r="AI254" s="74">
        <v>619.3031250060202</v>
      </c>
    </row>
    <row r="255" spans="1:35" s="74" customFormat="1" ht="16" thickTop="1" thickBot="1">
      <c r="C255" s="13" t="s">
        <v>11</v>
      </c>
      <c r="D255" s="73" t="s">
        <v>57</v>
      </c>
      <c r="E255" s="74">
        <v>1300</v>
      </c>
      <c r="F255" s="74">
        <v>1310.4000000000001</v>
      </c>
      <c r="G255" s="74">
        <v>1320.8832</v>
      </c>
      <c r="H255" s="74">
        <v>1331.4502656</v>
      </c>
      <c r="I255" s="74">
        <v>1342.1018677248001</v>
      </c>
      <c r="J255" s="74">
        <v>1352.8386826665985</v>
      </c>
      <c r="K255" s="74">
        <v>1363.6613921279313</v>
      </c>
      <c r="L255" s="74">
        <v>1374.5706832649548</v>
      </c>
      <c r="M255" s="74">
        <v>1385.5672487310744</v>
      </c>
      <c r="N255" s="74">
        <v>1396.6517867209229</v>
      </c>
      <c r="O255" s="74">
        <v>1407.8250010146903</v>
      </c>
      <c r="P255" s="74">
        <v>1419.0876010228078</v>
      </c>
      <c r="Q255" s="74">
        <v>1430.4403018309902</v>
      </c>
      <c r="R255" s="74">
        <v>1441.8838242456382</v>
      </c>
      <c r="S255" s="74">
        <v>1453.4188948396034</v>
      </c>
      <c r="T255" s="74">
        <v>1465.0462459983203</v>
      </c>
      <c r="U255" s="74">
        <v>1476.7666159663067</v>
      </c>
      <c r="V255" s="74">
        <v>1488.5807488940372</v>
      </c>
      <c r="W255" s="74">
        <v>1500.4893948851895</v>
      </c>
      <c r="X255" s="74">
        <v>1512.4933100442711</v>
      </c>
      <c r="Y255" s="74">
        <v>1524.5932565246253</v>
      </c>
      <c r="Z255" s="74">
        <v>1536.7900025768224</v>
      </c>
      <c r="AA255" s="74">
        <v>1549.084322597437</v>
      </c>
      <c r="AB255" s="74">
        <v>1561.4769971782166</v>
      </c>
      <c r="AC255" s="74">
        <v>1573.9688131556422</v>
      </c>
      <c r="AD255" s="74">
        <v>1586.5605636608873</v>
      </c>
      <c r="AE255" s="74">
        <v>1599.2530481701745</v>
      </c>
      <c r="AF255" s="74">
        <v>1612.0470725555358</v>
      </c>
      <c r="AG255" s="74">
        <v>1624.94344913598</v>
      </c>
      <c r="AH255" s="74">
        <v>1637.9429967290678</v>
      </c>
      <c r="AI255" s="74">
        <v>1651.0465407029003</v>
      </c>
    </row>
    <row r="256" spans="1:35" ht="14.25" customHeight="1" thickTop="1" thickBot="1">
      <c r="C256" s="13" t="s">
        <v>11</v>
      </c>
      <c r="D256" s="73" t="s">
        <v>58</v>
      </c>
      <c r="E256" s="26">
        <v>1200</v>
      </c>
      <c r="F256" s="26">
        <v>1224</v>
      </c>
      <c r="G256" s="26">
        <v>1248.48</v>
      </c>
      <c r="H256" s="26">
        <v>1273.4496000000001</v>
      </c>
      <c r="I256" s="26">
        <v>1298.9185920000002</v>
      </c>
      <c r="J256" s="26">
        <v>1324.8969638400004</v>
      </c>
      <c r="K256" s="26">
        <v>1351.3949031168004</v>
      </c>
      <c r="L256" s="26">
        <v>1378.4228011791365</v>
      </c>
      <c r="M256" s="26">
        <v>1405.9912572027192</v>
      </c>
      <c r="N256" s="26">
        <v>1434.1110823467736</v>
      </c>
      <c r="O256" s="26">
        <v>1462.7933039937091</v>
      </c>
      <c r="P256" s="26">
        <v>1492.0491700735834</v>
      </c>
      <c r="Q256" s="26">
        <v>1521.8901534750551</v>
      </c>
      <c r="R256" s="26">
        <v>1552.3279565445562</v>
      </c>
      <c r="S256" s="26">
        <v>1583.3745156754474</v>
      </c>
      <c r="T256" s="26">
        <v>1615.0420059889564</v>
      </c>
      <c r="U256" s="26">
        <v>1647.3428461087356</v>
      </c>
      <c r="V256" s="26">
        <v>1680.2897030309102</v>
      </c>
      <c r="W256" s="26">
        <v>1713.8954970915286</v>
      </c>
      <c r="X256" s="26">
        <v>1748.1734070333591</v>
      </c>
      <c r="Y256" s="26">
        <v>1783.1368751740263</v>
      </c>
      <c r="Z256" s="26">
        <v>1818.7996126775067</v>
      </c>
      <c r="AA256" s="26">
        <v>1855.1756049310568</v>
      </c>
      <c r="AB256" s="26">
        <v>1892.279117029678</v>
      </c>
      <c r="AC256" s="26">
        <v>1930.1246993702716</v>
      </c>
      <c r="AD256" s="26">
        <v>1968.7271933576772</v>
      </c>
      <c r="AE256" s="26">
        <v>2008.1017372248307</v>
      </c>
      <c r="AF256" s="26">
        <v>2048.2637719693275</v>
      </c>
      <c r="AG256" s="26">
        <v>2089.229047408714</v>
      </c>
      <c r="AH256" s="26">
        <v>2131.0136283568881</v>
      </c>
      <c r="AI256" s="26">
        <v>2173.633900924026</v>
      </c>
    </row>
    <row r="257" spans="3:35" ht="14.25" customHeight="1" thickTop="1" thickBot="1">
      <c r="C257" s="13" t="s">
        <v>11</v>
      </c>
      <c r="D257" s="75" t="s">
        <v>59</v>
      </c>
      <c r="E257" s="26">
        <v>4.99E-2</v>
      </c>
      <c r="F257" s="26">
        <v>5.0398999999999999E-2</v>
      </c>
      <c r="G257" s="26">
        <v>5.0902990000000002E-2</v>
      </c>
      <c r="H257" s="26">
        <v>5.1412019900000008E-2</v>
      </c>
      <c r="I257" s="26">
        <v>5.1926140099000005E-2</v>
      </c>
      <c r="J257" s="26">
        <v>5.244540149999001E-2</v>
      </c>
      <c r="K257" s="26">
        <v>5.2969855514989908E-2</v>
      </c>
      <c r="L257" s="26">
        <v>5.3499554070139808E-2</v>
      </c>
      <c r="M257" s="26">
        <v>5.4034549610841205E-2</v>
      </c>
      <c r="N257" s="26">
        <v>5.4574895106949614E-2</v>
      </c>
      <c r="O257" s="26">
        <v>5.5120644058019114E-2</v>
      </c>
      <c r="P257" s="26">
        <v>5.5671850498599303E-2</v>
      </c>
      <c r="Q257" s="26">
        <v>5.6228569003585298E-2</v>
      </c>
      <c r="R257" s="26">
        <v>5.6790854693621148E-2</v>
      </c>
      <c r="S257" s="26">
        <v>5.7358763240557366E-2</v>
      </c>
      <c r="T257" s="26">
        <v>5.7932350872962939E-2</v>
      </c>
      <c r="U257" s="26">
        <v>5.8511674381692566E-2</v>
      </c>
      <c r="V257" s="26">
        <v>5.9096791125509494E-2</v>
      </c>
      <c r="W257" s="26">
        <v>5.9687759036764591E-2</v>
      </c>
      <c r="X257" s="26">
        <v>6.0284636627132238E-2</v>
      </c>
      <c r="Y257" s="26">
        <v>6.0887482993403561E-2</v>
      </c>
      <c r="Z257" s="26">
        <v>6.1496357823337594E-2</v>
      </c>
      <c r="AA257" s="26">
        <v>6.2111321401570968E-2</v>
      </c>
      <c r="AB257" s="26">
        <v>6.2732434615586669E-2</v>
      </c>
      <c r="AC257" s="26">
        <v>6.3359758961742535E-2</v>
      </c>
      <c r="AD257" s="26">
        <v>0.2495</v>
      </c>
      <c r="AE257" s="26">
        <v>7.7344999999999997</v>
      </c>
      <c r="AF257" s="26">
        <v>15.2195</v>
      </c>
      <c r="AG257" s="26">
        <v>22.704499999999999</v>
      </c>
      <c r="AH257" s="26">
        <v>30.189499999999999</v>
      </c>
      <c r="AI257" s="26">
        <v>38.921999999999997</v>
      </c>
    </row>
    <row r="258" spans="3:35" ht="14.25" customHeight="1" thickTop="1"/>
  </sheetData>
  <mergeCells count="3">
    <mergeCell ref="B17:B36"/>
    <mergeCell ref="B38:B57"/>
    <mergeCell ref="B59:B7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Steel Industry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Lu</dc:creator>
  <cp:lastModifiedBy>Bin Lu</cp:lastModifiedBy>
  <dcterms:created xsi:type="dcterms:W3CDTF">2025-11-28T02:53:46Z</dcterms:created>
  <dcterms:modified xsi:type="dcterms:W3CDTF">2025-11-28T02:53:58Z</dcterms:modified>
</cp:coreProperties>
</file>