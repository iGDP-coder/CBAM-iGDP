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bin/Desktop/"/>
    </mc:Choice>
  </mc:AlternateContent>
  <xr:revisionPtr revIDLastSave="0" documentId="8_{02C15E95-38C6-0544-A565-7A9CB53AAD53}" xr6:coauthVersionLast="47" xr6:coauthVersionMax="47" xr10:uidLastSave="{00000000-0000-0000-0000-000000000000}"/>
  <bookViews>
    <workbookView xWindow="1800" yWindow="1820" windowWidth="27440" windowHeight="16200" xr2:uid="{A5B12C59-FC09-9141-B497-FBDA67FC6E3C}"/>
  </bookViews>
  <sheets>
    <sheet name="CBAM-Carbon market" sheetId="1" r:id="rId1"/>
  </sheets>
  <externalReferences>
    <externalReference r:id="rId2"/>
  </externalReferences>
  <definedNames>
    <definedName name="rounding_decimal_places">[1]About!$A$123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3" i="1" l="1"/>
  <c r="AE23" i="1" s="1"/>
  <c r="AF23" i="1" s="1"/>
  <c r="AG23" i="1" s="1"/>
  <c r="Y23" i="1"/>
  <c r="Z23" i="1" s="1"/>
  <c r="AA23" i="1" s="1"/>
  <c r="AB23" i="1" s="1"/>
  <c r="T23" i="1"/>
  <c r="U23" i="1" s="1"/>
  <c r="V23" i="1" s="1"/>
  <c r="W23" i="1" s="1"/>
  <c r="O23" i="1"/>
  <c r="P23" i="1" s="1"/>
  <c r="Q23" i="1" s="1"/>
  <c r="R23" i="1" s="1"/>
  <c r="J23" i="1"/>
  <c r="K23" i="1" s="1"/>
  <c r="L23" i="1" s="1"/>
  <c r="M23" i="1" s="1"/>
  <c r="F23" i="1"/>
  <c r="G23" i="1" s="1"/>
  <c r="H23" i="1" s="1"/>
  <c r="E23" i="1"/>
  <c r="Y6" i="1"/>
  <c r="Z6" i="1" s="1"/>
  <c r="AA6" i="1" s="1"/>
  <c r="AB6" i="1" s="1"/>
  <c r="AC6" i="1" s="1"/>
  <c r="AD6" i="1" s="1"/>
  <c r="AE6" i="1" s="1"/>
  <c r="AF6" i="1" s="1"/>
  <c r="AG6" i="1" s="1"/>
  <c r="AH5" i="1"/>
  <c r="O5" i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</calcChain>
</file>

<file path=xl/sharedStrings.xml><?xml version="1.0" encoding="utf-8"?>
<sst xmlns="http://schemas.openxmlformats.org/spreadsheetml/2006/main" count="115" uniqueCount="18">
  <si>
    <r>
      <rPr>
        <sz val="11"/>
        <color rgb="FF000000"/>
        <rFont val="Trebuchet MS"/>
        <family val="2"/>
      </rPr>
      <t>　</t>
    </r>
  </si>
  <si>
    <r>
      <rPr>
        <sz val="12"/>
        <color rgb="FF000000"/>
        <rFont val="Trebuchet MS"/>
        <family val="2"/>
      </rPr>
      <t>　</t>
    </r>
  </si>
  <si>
    <r>
      <rPr>
        <b/>
        <sz val="14"/>
        <color rgb="FF000000"/>
        <rFont val="Trebuchet MS"/>
        <family val="2"/>
      </rPr>
      <t>　</t>
    </r>
  </si>
  <si>
    <r>
      <rPr>
        <sz val="11"/>
        <color rgb="FF000000"/>
        <rFont val="等线"/>
        <family val="3"/>
        <charset val="134"/>
      </rPr>
      <t>　</t>
    </r>
  </si>
  <si>
    <t>CBAM Module</t>
    <phoneticPr fontId="3" type="noConversion"/>
  </si>
  <si>
    <t>Value Options</t>
    <phoneticPr fontId="3" type="noConversion"/>
  </si>
  <si>
    <t>ETS Carbon Price</t>
    <phoneticPr fontId="3" type="noConversion"/>
  </si>
  <si>
    <t>BAU</t>
    <phoneticPr fontId="3" type="noConversion"/>
  </si>
  <si>
    <t>(Euro, constant 2019 prices)</t>
    <phoneticPr fontId="3" type="noConversion"/>
  </si>
  <si>
    <t>DCS</t>
    <phoneticPr fontId="3" type="noConversion"/>
  </si>
  <si>
    <t>NES</t>
    <phoneticPr fontId="3" type="noConversion"/>
  </si>
  <si>
    <t>Custom</t>
    <phoneticPr fontId="3" type="noConversion"/>
  </si>
  <si>
    <t>-</t>
    <phoneticPr fontId="3" type="noConversion"/>
  </si>
  <si>
    <t>When will China's steel industry enter the carbon market?</t>
    <phoneticPr fontId="3" type="noConversion"/>
  </si>
  <si>
    <t>China Carbon Price</t>
    <phoneticPr fontId="3" type="noConversion"/>
  </si>
  <si>
    <t>(RMB, constant 2019 prices)</t>
    <phoneticPr fontId="3" type="noConversion"/>
  </si>
  <si>
    <t>When will indirect emissions be included in the calculation?</t>
    <phoneticPr fontId="3" type="noConversion"/>
  </si>
  <si>
    <t>Only direct emissions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</si>
</sst>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等线"/>
      <family val="2"/>
      <charset val="134"/>
      <scheme val="minor"/>
    </font>
    <font>
      <sz val="11"/>
      <color rgb="FF000000"/>
      <name val="Arial"/>
      <family val="2"/>
    </font>
    <font>
      <sz val="11"/>
      <color rgb="FF000000"/>
      <name val="Trebuchet MS"/>
      <family val="2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2"/>
      <color rgb="FF000000"/>
      <name val="Arial"/>
      <family val="2"/>
    </font>
    <font>
      <sz val="12"/>
      <color rgb="FF000000"/>
      <name val="Trebuchet MS"/>
      <family val="2"/>
    </font>
    <font>
      <b/>
      <sz val="14"/>
      <color rgb="FF000000"/>
      <name val="Arial"/>
      <family val="2"/>
    </font>
    <font>
      <b/>
      <sz val="14"/>
      <color rgb="FF000000"/>
      <name val="Trebuchet MS"/>
      <family val="2"/>
    </font>
    <font>
      <sz val="11"/>
      <color rgb="FF000000"/>
      <name val="等线"/>
      <family val="3"/>
      <charset val="134"/>
    </font>
    <font>
      <b/>
      <sz val="11"/>
      <color rgb="FF000000"/>
      <name val="Arial"/>
      <family val="2"/>
    </font>
    <font>
      <b/>
      <sz val="11"/>
      <color theme="4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rgb="FF44444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D7D31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4" borderId="0" xfId="0" applyFont="1" applyFill="1">
      <alignment vertical="center"/>
    </xf>
    <xf numFmtId="0" fontId="8" fillId="4" borderId="0" xfId="0" applyFont="1" applyFill="1">
      <alignment vertical="center"/>
    </xf>
    <xf numFmtId="0" fontId="1" fillId="4" borderId="0" xfId="0" applyFont="1" applyFill="1">
      <alignment vertical="center"/>
    </xf>
    <xf numFmtId="0" fontId="11" fillId="3" borderId="0" xfId="0" applyFont="1" applyFill="1">
      <alignment vertical="center"/>
    </xf>
    <xf numFmtId="0" fontId="1" fillId="0" borderId="0" xfId="0" applyFont="1">
      <alignment vertical="center"/>
    </xf>
    <xf numFmtId="0" fontId="1" fillId="5" borderId="0" xfId="0" applyFont="1" applyFill="1">
      <alignment vertical="center"/>
    </xf>
    <xf numFmtId="0" fontId="11" fillId="6" borderId="1" xfId="0" applyFont="1" applyFill="1" applyBorder="1">
      <alignment vertical="center"/>
    </xf>
    <xf numFmtId="1" fontId="12" fillId="0" borderId="0" xfId="0" applyNumberFormat="1" applyFont="1">
      <alignment vertical="center"/>
    </xf>
    <xf numFmtId="1" fontId="1" fillId="0" borderId="0" xfId="0" applyNumberFormat="1" applyFont="1">
      <alignment vertical="center"/>
    </xf>
    <xf numFmtId="1" fontId="5" fillId="0" borderId="0" xfId="0" applyNumberFormat="1" applyFont="1">
      <alignment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11" fillId="6" borderId="2" xfId="0" applyFont="1" applyFill="1" applyBorder="1">
      <alignment vertical="center"/>
    </xf>
    <xf numFmtId="0" fontId="14" fillId="7" borderId="3" xfId="0" applyFont="1" applyFill="1" applyBorder="1">
      <alignment vertical="center"/>
    </xf>
    <xf numFmtId="0" fontId="4" fillId="7" borderId="3" xfId="0" applyFont="1" applyFill="1" applyBorder="1" applyAlignment="1">
      <alignment horizontal="right" vertical="center"/>
    </xf>
    <xf numFmtId="0" fontId="11" fillId="6" borderId="1" xfId="0" applyFont="1" applyFill="1" applyBorder="1" applyAlignment="1">
      <alignment horizontal="left" vertical="center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2" fontId="4" fillId="0" borderId="0" xfId="0" applyNumberFormat="1" applyFont="1">
      <alignment vertical="center"/>
    </xf>
    <xf numFmtId="0" fontId="1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Xi%20Xi/iGDP%20Dropbox/Xi%20Xi/IFS%20Programs/&#23433;&#24509;&#30465;/EPS&#23433;&#24509;/InputData/plcy-schd/FoPITY/Frac%20of%20Pol%20Impl%20This%20Yr%20-%201%20-%20Defaul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Set Schedules Here"/>
      <sheetName val="FoPITY-1"/>
      <sheetName val="FoPITY-1-WebApp"/>
      <sheetName val="FoPITY-policy-elements"/>
      <sheetName val="Exogenous GDP Adjustment"/>
    </sheetNames>
    <sheetDataSet>
      <sheetData sheetId="0" refreshError="1">
        <row r="88">
          <cell r="B88">
            <v>1.0249999999999999</v>
          </cell>
        </row>
        <row r="123">
          <cell r="A123">
            <v>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DF5B-FE15-6746-923C-B2937243F8C8}">
  <sheetPr codeName="Sheet17"/>
  <dimension ref="A1:BO40"/>
  <sheetViews>
    <sheetView tabSelected="1" zoomScaleNormal="90" workbookViewId="0">
      <selection activeCell="E20" sqref="E20"/>
    </sheetView>
  </sheetViews>
  <sheetFormatPr baseColWidth="10" defaultColWidth="9" defaultRowHeight="14"/>
  <cols>
    <col min="1" max="1" width="13" style="3" bestFit="1" customWidth="1"/>
    <col min="2" max="2" width="31.33203125" style="3" bestFit="1" customWidth="1"/>
    <col min="3" max="3" width="19.6640625" style="3" bestFit="1" customWidth="1"/>
    <col min="4" max="12" width="6.33203125" style="3" customWidth="1"/>
    <col min="13" max="28" width="7.83203125" style="3" bestFit="1" customWidth="1"/>
    <col min="29" max="33" width="9" style="3" bestFit="1" customWidth="1"/>
    <col min="34" max="34" width="7.33203125" style="3" bestFit="1" customWidth="1"/>
    <col min="35" max="35" width="5.5" style="3" bestFit="1" customWidth="1"/>
    <col min="36" max="67" width="9" style="4"/>
    <col min="68" max="16384" width="9" style="3"/>
  </cols>
  <sheetData>
    <row r="1" spans="1:67">
      <c r="A1" s="1" t="s">
        <v>0</v>
      </c>
      <c r="B1" s="1" t="s">
        <v>0</v>
      </c>
      <c r="C1" s="1" t="s">
        <v>0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  <c r="R1" s="2">
        <v>2034</v>
      </c>
      <c r="S1" s="2">
        <v>2035</v>
      </c>
      <c r="T1" s="2">
        <v>2036</v>
      </c>
      <c r="U1" s="2">
        <v>2037</v>
      </c>
      <c r="V1" s="2">
        <v>2038</v>
      </c>
      <c r="W1" s="2">
        <v>2039</v>
      </c>
      <c r="X1" s="2">
        <v>2040</v>
      </c>
      <c r="Y1" s="2">
        <v>2041</v>
      </c>
      <c r="Z1" s="2">
        <v>2042</v>
      </c>
      <c r="AA1" s="2">
        <v>2043</v>
      </c>
      <c r="AB1" s="2">
        <v>2044</v>
      </c>
      <c r="AC1" s="2">
        <v>2045</v>
      </c>
      <c r="AD1" s="2">
        <v>2046</v>
      </c>
      <c r="AE1" s="2">
        <v>2047</v>
      </c>
      <c r="AF1" s="2">
        <v>2048</v>
      </c>
      <c r="AG1" s="2">
        <v>2049</v>
      </c>
      <c r="AH1" s="2">
        <v>2050</v>
      </c>
    </row>
    <row r="2" spans="1:67" ht="18">
      <c r="A2" s="5" t="s">
        <v>1</v>
      </c>
      <c r="B2" s="6" t="s">
        <v>2</v>
      </c>
      <c r="C2" s="7" t="s">
        <v>0</v>
      </c>
      <c r="D2" s="7" t="s">
        <v>0</v>
      </c>
      <c r="E2" s="7" t="s">
        <v>0</v>
      </c>
      <c r="F2" s="7" t="s">
        <v>0</v>
      </c>
      <c r="G2" s="7" t="s">
        <v>0</v>
      </c>
      <c r="H2" s="7" t="s">
        <v>0</v>
      </c>
      <c r="I2" s="7" t="s">
        <v>0</v>
      </c>
      <c r="J2" s="7" t="s">
        <v>0</v>
      </c>
      <c r="K2" s="7" t="s">
        <v>0</v>
      </c>
      <c r="L2" s="7" t="s">
        <v>0</v>
      </c>
      <c r="M2" s="7" t="s">
        <v>0</v>
      </c>
      <c r="N2" s="7" t="s">
        <v>0</v>
      </c>
      <c r="O2" s="7" t="s">
        <v>0</v>
      </c>
      <c r="P2" s="7" t="s">
        <v>0</v>
      </c>
      <c r="Q2" s="7" t="s">
        <v>0</v>
      </c>
      <c r="R2" s="7" t="s">
        <v>0</v>
      </c>
      <c r="S2" s="7" t="s">
        <v>0</v>
      </c>
      <c r="T2" s="7" t="s">
        <v>0</v>
      </c>
      <c r="U2" s="7" t="s">
        <v>0</v>
      </c>
      <c r="V2" s="7" t="s">
        <v>0</v>
      </c>
      <c r="W2" s="7" t="s">
        <v>0</v>
      </c>
      <c r="X2" s="7" t="s">
        <v>0</v>
      </c>
      <c r="Y2" s="7" t="s">
        <v>0</v>
      </c>
      <c r="Z2" s="7" t="s">
        <v>0</v>
      </c>
      <c r="AA2" s="7" t="s">
        <v>0</v>
      </c>
      <c r="AB2" s="7" t="s">
        <v>0</v>
      </c>
      <c r="AC2" s="7" t="s">
        <v>0</v>
      </c>
      <c r="AD2" s="7" t="s">
        <v>0</v>
      </c>
      <c r="AE2" s="7" t="s">
        <v>0</v>
      </c>
      <c r="AF2" s="7" t="s">
        <v>0</v>
      </c>
    </row>
    <row r="3" spans="1:67" ht="16" thickBot="1">
      <c r="A3" s="2" t="s">
        <v>3</v>
      </c>
      <c r="B3" s="8" t="s">
        <v>4</v>
      </c>
      <c r="C3" s="2" t="s">
        <v>5</v>
      </c>
      <c r="D3" s="2">
        <v>2020</v>
      </c>
      <c r="E3" s="2">
        <v>2021</v>
      </c>
      <c r="F3" s="2">
        <v>2022</v>
      </c>
      <c r="G3" s="2">
        <v>2023</v>
      </c>
      <c r="H3" s="2">
        <v>2024</v>
      </c>
      <c r="I3" s="2">
        <v>2025</v>
      </c>
      <c r="J3" s="2">
        <v>2026</v>
      </c>
      <c r="K3" s="2">
        <v>2027</v>
      </c>
      <c r="L3" s="2">
        <v>2028</v>
      </c>
      <c r="M3" s="2">
        <v>2029</v>
      </c>
      <c r="N3" s="2">
        <v>2030</v>
      </c>
      <c r="O3" s="2">
        <v>2031</v>
      </c>
      <c r="P3" s="2">
        <v>2032</v>
      </c>
      <c r="Q3" s="2">
        <v>2033</v>
      </c>
      <c r="R3" s="2">
        <v>2034</v>
      </c>
      <c r="S3" s="2">
        <v>2035</v>
      </c>
      <c r="T3" s="2">
        <v>2036</v>
      </c>
      <c r="U3" s="2">
        <v>2037</v>
      </c>
      <c r="V3" s="2">
        <v>2038</v>
      </c>
      <c r="W3" s="2">
        <v>2039</v>
      </c>
      <c r="X3" s="2">
        <v>2040</v>
      </c>
      <c r="Y3" s="2">
        <v>2041</v>
      </c>
      <c r="Z3" s="2">
        <v>2042</v>
      </c>
      <c r="AA3" s="2">
        <v>2043</v>
      </c>
      <c r="AB3" s="2">
        <v>2044</v>
      </c>
      <c r="AC3" s="2">
        <v>2045</v>
      </c>
      <c r="AD3" s="2">
        <v>2046</v>
      </c>
      <c r="AE3" s="2">
        <v>2047</v>
      </c>
      <c r="AF3" s="2">
        <v>2048</v>
      </c>
      <c r="AG3" s="2">
        <v>2049</v>
      </c>
      <c r="AH3" s="2">
        <v>2050</v>
      </c>
    </row>
    <row r="4" spans="1:67" ht="16" thickTop="1" thickBot="1">
      <c r="A4" s="9"/>
      <c r="B4" s="10" t="s">
        <v>6</v>
      </c>
      <c r="C4" s="11" t="s">
        <v>7</v>
      </c>
      <c r="D4" s="12">
        <v>25</v>
      </c>
      <c r="E4" s="13">
        <v>25.3</v>
      </c>
      <c r="F4" s="13">
        <v>25.6</v>
      </c>
      <c r="G4" s="13">
        <v>25.9</v>
      </c>
      <c r="H4" s="13">
        <v>26.2</v>
      </c>
      <c r="I4" s="12">
        <v>26.5</v>
      </c>
      <c r="J4" s="13">
        <v>27.2</v>
      </c>
      <c r="K4" s="13">
        <v>27.9</v>
      </c>
      <c r="L4" s="13">
        <v>28.6</v>
      </c>
      <c r="M4" s="13">
        <v>29.3</v>
      </c>
      <c r="N4" s="12">
        <v>30</v>
      </c>
      <c r="O4" s="13">
        <v>34</v>
      </c>
      <c r="P4" s="13">
        <v>38</v>
      </c>
      <c r="Q4" s="13">
        <v>42</v>
      </c>
      <c r="R4" s="13">
        <v>46</v>
      </c>
      <c r="S4" s="12">
        <v>50</v>
      </c>
      <c r="T4" s="13">
        <v>56</v>
      </c>
      <c r="U4" s="13">
        <v>62</v>
      </c>
      <c r="V4" s="13">
        <v>68</v>
      </c>
      <c r="W4" s="13">
        <v>74</v>
      </c>
      <c r="X4" s="12">
        <v>80</v>
      </c>
      <c r="Y4" s="13">
        <v>88</v>
      </c>
      <c r="Z4" s="13">
        <v>96</v>
      </c>
      <c r="AA4" s="13">
        <v>104</v>
      </c>
      <c r="AB4" s="13">
        <v>112</v>
      </c>
      <c r="AC4" s="12">
        <v>120</v>
      </c>
      <c r="AD4" s="13">
        <v>126</v>
      </c>
      <c r="AE4" s="13">
        <v>132</v>
      </c>
      <c r="AF4" s="13">
        <v>138</v>
      </c>
      <c r="AG4" s="13">
        <v>144</v>
      </c>
      <c r="AH4" s="12">
        <v>150</v>
      </c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</row>
    <row r="5" spans="1:67" ht="16" thickTop="1" thickBot="1">
      <c r="B5" s="15" t="s">
        <v>8</v>
      </c>
      <c r="C5" s="11" t="s">
        <v>9</v>
      </c>
      <c r="D5" s="12">
        <v>25</v>
      </c>
      <c r="E5" s="13">
        <v>28</v>
      </c>
      <c r="F5" s="13">
        <v>30.9</v>
      </c>
      <c r="G5" s="13">
        <v>33.9</v>
      </c>
      <c r="H5" s="13">
        <v>36.9</v>
      </c>
      <c r="I5" s="13">
        <v>39.799999999999997</v>
      </c>
      <c r="J5" s="13">
        <v>42.8</v>
      </c>
      <c r="K5" s="13">
        <v>45.8</v>
      </c>
      <c r="L5" s="13">
        <v>48.7</v>
      </c>
      <c r="M5" s="13">
        <v>51.7</v>
      </c>
      <c r="N5" s="12">
        <v>54.66</v>
      </c>
      <c r="O5" s="13">
        <f>N5+($AH$5-$N$5)/20</f>
        <v>62.526999999999994</v>
      </c>
      <c r="P5" s="13">
        <f t="shared" ref="P5:AG5" si="0">O5+($AH$5-$N$5)/20</f>
        <v>70.393999999999991</v>
      </c>
      <c r="Q5" s="13">
        <f t="shared" si="0"/>
        <v>78.260999999999996</v>
      </c>
      <c r="R5" s="13">
        <f t="shared" si="0"/>
        <v>86.128</v>
      </c>
      <c r="S5" s="13">
        <f t="shared" si="0"/>
        <v>93.995000000000005</v>
      </c>
      <c r="T5" s="13">
        <f t="shared" si="0"/>
        <v>101.86200000000001</v>
      </c>
      <c r="U5" s="13">
        <f t="shared" si="0"/>
        <v>109.72900000000001</v>
      </c>
      <c r="V5" s="13">
        <f t="shared" si="0"/>
        <v>117.59600000000002</v>
      </c>
      <c r="W5" s="13">
        <f t="shared" si="0"/>
        <v>125.46300000000002</v>
      </c>
      <c r="X5" s="13">
        <f t="shared" si="0"/>
        <v>133.33000000000001</v>
      </c>
      <c r="Y5" s="13">
        <f t="shared" si="0"/>
        <v>141.197</v>
      </c>
      <c r="Z5" s="13">
        <f t="shared" si="0"/>
        <v>149.06399999999999</v>
      </c>
      <c r="AA5" s="13">
        <f t="shared" si="0"/>
        <v>156.93099999999998</v>
      </c>
      <c r="AB5" s="13">
        <f t="shared" si="0"/>
        <v>164.79799999999997</v>
      </c>
      <c r="AC5" s="13">
        <f t="shared" si="0"/>
        <v>172.66499999999996</v>
      </c>
      <c r="AD5" s="13">
        <f t="shared" si="0"/>
        <v>180.53199999999995</v>
      </c>
      <c r="AE5" s="13">
        <f t="shared" si="0"/>
        <v>188.39899999999994</v>
      </c>
      <c r="AF5" s="13">
        <f t="shared" si="0"/>
        <v>196.26599999999993</v>
      </c>
      <c r="AG5" s="13">
        <f t="shared" si="0"/>
        <v>204.13299999999992</v>
      </c>
      <c r="AH5" s="12">
        <f>212</f>
        <v>212</v>
      </c>
      <c r="AI5" s="16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</row>
    <row r="6" spans="1:67" ht="15" thickTop="1">
      <c r="C6" s="17" t="s">
        <v>10</v>
      </c>
      <c r="D6" s="12">
        <v>25</v>
      </c>
      <c r="E6" s="13">
        <v>32.799999999999997</v>
      </c>
      <c r="F6" s="13">
        <v>40.6</v>
      </c>
      <c r="G6" s="13">
        <v>48.4</v>
      </c>
      <c r="H6" s="13">
        <v>56.2</v>
      </c>
      <c r="I6" s="12">
        <v>64</v>
      </c>
      <c r="J6" s="13">
        <v>73.2</v>
      </c>
      <c r="K6" s="13">
        <v>82.4</v>
      </c>
      <c r="L6" s="13">
        <v>91.6</v>
      </c>
      <c r="M6" s="13">
        <v>100.8</v>
      </c>
      <c r="N6" s="12">
        <v>110</v>
      </c>
      <c r="O6" s="13">
        <v>116.4</v>
      </c>
      <c r="P6" s="13">
        <v>122.8</v>
      </c>
      <c r="Q6" s="13">
        <v>129.19999999999999</v>
      </c>
      <c r="R6" s="13">
        <v>135.6</v>
      </c>
      <c r="S6" s="13">
        <v>142</v>
      </c>
      <c r="T6" s="13">
        <v>148.4</v>
      </c>
      <c r="U6" s="13">
        <v>154.80000000000001</v>
      </c>
      <c r="V6" s="13">
        <v>161.19999999999999</v>
      </c>
      <c r="W6" s="13">
        <v>167.6</v>
      </c>
      <c r="X6" s="12">
        <v>174</v>
      </c>
      <c r="Y6" s="13">
        <f>X6+($AH$6-$X$6)/10</f>
        <v>184.01599999999999</v>
      </c>
      <c r="Z6" s="13">
        <f t="shared" ref="Z6:AG6" si="1">Y6+($AH$6-$X$6)/10</f>
        <v>194.03199999999998</v>
      </c>
      <c r="AA6" s="13">
        <f t="shared" si="1"/>
        <v>204.04799999999997</v>
      </c>
      <c r="AB6" s="13">
        <f t="shared" si="1"/>
        <v>214.06399999999996</v>
      </c>
      <c r="AC6" s="13">
        <f t="shared" si="1"/>
        <v>224.07999999999996</v>
      </c>
      <c r="AD6" s="13">
        <f t="shared" si="1"/>
        <v>234.09599999999995</v>
      </c>
      <c r="AE6" s="13">
        <f t="shared" si="1"/>
        <v>244.11199999999994</v>
      </c>
      <c r="AF6" s="13">
        <f t="shared" si="1"/>
        <v>254.12799999999993</v>
      </c>
      <c r="AG6" s="13">
        <f t="shared" si="1"/>
        <v>264.14399999999995</v>
      </c>
      <c r="AH6" s="12">
        <v>274.16000000000003</v>
      </c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</row>
    <row r="7" spans="1:67">
      <c r="C7" s="18" t="s">
        <v>11</v>
      </c>
      <c r="D7" s="19" t="s">
        <v>12</v>
      </c>
      <c r="E7" s="19" t="s">
        <v>12</v>
      </c>
      <c r="F7" s="19" t="s">
        <v>12</v>
      </c>
      <c r="G7" s="19" t="s">
        <v>12</v>
      </c>
      <c r="H7" s="19" t="s">
        <v>12</v>
      </c>
      <c r="I7" s="19" t="s">
        <v>12</v>
      </c>
      <c r="J7" s="19" t="s">
        <v>12</v>
      </c>
      <c r="K7" s="19" t="s">
        <v>12</v>
      </c>
      <c r="L7" s="19" t="s">
        <v>12</v>
      </c>
      <c r="M7" s="19" t="s">
        <v>12</v>
      </c>
      <c r="N7" s="19" t="s">
        <v>12</v>
      </c>
      <c r="O7" s="19" t="s">
        <v>12</v>
      </c>
      <c r="P7" s="19" t="s">
        <v>12</v>
      </c>
      <c r="Q7" s="19" t="s">
        <v>12</v>
      </c>
      <c r="R7" s="19" t="s">
        <v>12</v>
      </c>
      <c r="S7" s="19" t="s">
        <v>12</v>
      </c>
      <c r="T7" s="19" t="s">
        <v>12</v>
      </c>
      <c r="U7" s="19" t="s">
        <v>12</v>
      </c>
      <c r="V7" s="19" t="s">
        <v>12</v>
      </c>
      <c r="W7" s="19" t="s">
        <v>12</v>
      </c>
      <c r="X7" s="19" t="s">
        <v>12</v>
      </c>
      <c r="Y7" s="19" t="s">
        <v>12</v>
      </c>
      <c r="Z7" s="19" t="s">
        <v>12</v>
      </c>
      <c r="AA7" s="19" t="s">
        <v>12</v>
      </c>
      <c r="AB7" s="19" t="s">
        <v>12</v>
      </c>
      <c r="AC7" s="19" t="s">
        <v>12</v>
      </c>
      <c r="AD7" s="19" t="s">
        <v>12</v>
      </c>
      <c r="AE7" s="19" t="s">
        <v>12</v>
      </c>
      <c r="AF7" s="19" t="s">
        <v>12</v>
      </c>
      <c r="AG7" s="19" t="s">
        <v>12</v>
      </c>
      <c r="AH7" s="19" t="s">
        <v>12</v>
      </c>
    </row>
    <row r="9" spans="1:67" ht="16" thickTop="1" thickBot="1">
      <c r="B9" s="10" t="s">
        <v>13</v>
      </c>
      <c r="C9" s="20">
        <v>2025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</row>
    <row r="10" spans="1:67" ht="16" thickTop="1" thickBot="1">
      <c r="C10" s="20">
        <v>2026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</row>
    <row r="11" spans="1:67" ht="16" thickTop="1" thickBot="1">
      <c r="C11" s="20">
        <v>2027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</row>
    <row r="12" spans="1:67" ht="16" thickTop="1" thickBot="1">
      <c r="C12" s="20">
        <v>2028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</row>
    <row r="13" spans="1:67" ht="16" thickTop="1" thickBot="1">
      <c r="C13" s="20">
        <v>2029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</row>
    <row r="14" spans="1:67" ht="16" thickTop="1" thickBot="1">
      <c r="C14" s="20">
        <v>2030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</row>
    <row r="15" spans="1:67" ht="16" thickTop="1" thickBot="1">
      <c r="C15" s="20">
        <v>2031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</row>
    <row r="16" spans="1:67" ht="16" thickTop="1" thickBot="1">
      <c r="C16" s="20">
        <v>2032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</row>
    <row r="17" spans="2:67" ht="16" thickTop="1" thickBot="1">
      <c r="C17" s="20">
        <v>2033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  <c r="AG17" s="3">
        <v>1</v>
      </c>
      <c r="AH17" s="3">
        <v>1</v>
      </c>
    </row>
    <row r="18" spans="2:67" ht="16" thickTop="1" thickBot="1">
      <c r="C18" s="20">
        <v>2034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  <c r="AG18" s="3">
        <v>1</v>
      </c>
      <c r="AH18" s="3">
        <v>1</v>
      </c>
    </row>
    <row r="19" spans="2:67" ht="16" thickTop="1" thickBot="1">
      <c r="C19" s="20">
        <v>2035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</row>
    <row r="20" spans="2:67" ht="16" thickTop="1" thickBot="1"/>
    <row r="21" spans="2:67" ht="16" thickTop="1" thickBot="1">
      <c r="B21" s="10" t="s">
        <v>14</v>
      </c>
      <c r="C21" s="11" t="s">
        <v>7</v>
      </c>
      <c r="D21" s="9">
        <v>27.5</v>
      </c>
      <c r="E21" s="9">
        <v>31.1</v>
      </c>
      <c r="F21" s="9">
        <v>34.700000000000003</v>
      </c>
      <c r="G21" s="9">
        <v>38.200000000000003</v>
      </c>
      <c r="H21" s="9">
        <v>41.8</v>
      </c>
      <c r="I21" s="9">
        <v>45.4</v>
      </c>
      <c r="J21" s="9">
        <v>48.5</v>
      </c>
      <c r="K21" s="9">
        <v>51.6</v>
      </c>
      <c r="L21" s="9">
        <v>54.7</v>
      </c>
      <c r="M21" s="9">
        <v>57.8</v>
      </c>
      <c r="N21" s="9">
        <v>61</v>
      </c>
      <c r="O21" s="9">
        <v>66.2</v>
      </c>
      <c r="P21" s="9">
        <v>71.5</v>
      </c>
      <c r="Q21" s="9">
        <v>76.8</v>
      </c>
      <c r="R21" s="9">
        <v>82.1</v>
      </c>
      <c r="S21" s="9">
        <v>87.4</v>
      </c>
      <c r="T21" s="9">
        <v>97.3</v>
      </c>
      <c r="U21" s="9">
        <v>107.2</v>
      </c>
      <c r="V21" s="9">
        <v>117.1</v>
      </c>
      <c r="W21" s="9">
        <v>127</v>
      </c>
      <c r="X21" s="9">
        <v>136.9</v>
      </c>
      <c r="Y21" s="9">
        <v>149.80000000000001</v>
      </c>
      <c r="Z21" s="9">
        <v>162.80000000000001</v>
      </c>
      <c r="AA21" s="9">
        <v>175.8</v>
      </c>
      <c r="AB21" s="9">
        <v>188.8</v>
      </c>
      <c r="AC21" s="9">
        <v>201.8</v>
      </c>
      <c r="AD21" s="9">
        <v>220.1</v>
      </c>
      <c r="AE21" s="9">
        <v>238.4</v>
      </c>
      <c r="AF21" s="9">
        <v>256.7</v>
      </c>
      <c r="AG21" s="9">
        <v>275</v>
      </c>
      <c r="AH21" s="9">
        <v>293.3</v>
      </c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</row>
    <row r="22" spans="2:67" ht="16" thickTop="1" thickBot="1">
      <c r="B22" s="15" t="s">
        <v>15</v>
      </c>
      <c r="C22" s="11" t="s">
        <v>9</v>
      </c>
      <c r="D22" s="21">
        <v>27.5</v>
      </c>
      <c r="E22" s="21">
        <v>35.799999999999997</v>
      </c>
      <c r="F22" s="21">
        <v>44.2</v>
      </c>
      <c r="G22" s="21">
        <v>52.5</v>
      </c>
      <c r="H22" s="21">
        <v>60.8</v>
      </c>
      <c r="I22" s="21">
        <v>69.2</v>
      </c>
      <c r="J22" s="21">
        <v>76.5</v>
      </c>
      <c r="K22" s="21">
        <v>83.8</v>
      </c>
      <c r="L22" s="21">
        <v>91.1</v>
      </c>
      <c r="M22" s="21">
        <v>98.4</v>
      </c>
      <c r="N22" s="21">
        <v>105.8</v>
      </c>
      <c r="O22" s="21">
        <v>120.8</v>
      </c>
      <c r="P22" s="21">
        <v>135.9</v>
      </c>
      <c r="Q22" s="21">
        <v>150.9</v>
      </c>
      <c r="R22" s="21">
        <v>166</v>
      </c>
      <c r="S22" s="21">
        <v>181</v>
      </c>
      <c r="T22" s="21">
        <v>203.2</v>
      </c>
      <c r="U22" s="21">
        <v>225.4</v>
      </c>
      <c r="V22" s="21">
        <v>247.5</v>
      </c>
      <c r="W22" s="21">
        <v>269.7</v>
      </c>
      <c r="X22" s="21">
        <v>291.89999999999998</v>
      </c>
      <c r="Y22" s="21">
        <v>322</v>
      </c>
      <c r="Z22" s="21">
        <v>352.1</v>
      </c>
      <c r="AA22" s="21">
        <v>382.2</v>
      </c>
      <c r="AB22" s="21">
        <v>412.3</v>
      </c>
      <c r="AC22" s="21">
        <v>442.4</v>
      </c>
      <c r="AD22" s="21">
        <v>506.7</v>
      </c>
      <c r="AE22" s="21">
        <v>570.9</v>
      </c>
      <c r="AF22" s="21">
        <v>635.20000000000005</v>
      </c>
      <c r="AG22" s="21">
        <v>699.5</v>
      </c>
      <c r="AH22" s="21">
        <v>763.8</v>
      </c>
      <c r="AI22" s="21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</row>
    <row r="23" spans="2:67" ht="15" thickTop="1">
      <c r="C23" s="17" t="s">
        <v>10</v>
      </c>
      <c r="D23" s="21">
        <v>27.5</v>
      </c>
      <c r="E23" s="21">
        <f>D23+($I$23-$D$23)/5</f>
        <v>38.4</v>
      </c>
      <c r="F23" s="21">
        <f>E23+($I$23-$D$23)/5</f>
        <v>49.3</v>
      </c>
      <c r="G23" s="21">
        <f>F23+($I$23-$D$23)/5</f>
        <v>60.199999999999996</v>
      </c>
      <c r="H23" s="21">
        <f>G23+($I$23-$D$23)/5</f>
        <v>71.099999999999994</v>
      </c>
      <c r="I23" s="22">
        <v>82</v>
      </c>
      <c r="J23" s="21">
        <f>I23+($N$23-$I$23)/5</f>
        <v>90.6</v>
      </c>
      <c r="K23" s="21">
        <f>J23+($N$23-$I$23)/5</f>
        <v>99.199999999999989</v>
      </c>
      <c r="L23" s="21">
        <f>K23+($N$23-$I$23)/5</f>
        <v>107.79999999999998</v>
      </c>
      <c r="M23" s="21">
        <f>L23+($N$23-$I$23)/5</f>
        <v>116.39999999999998</v>
      </c>
      <c r="N23" s="22">
        <v>125</v>
      </c>
      <c r="O23" s="21">
        <f>N23+($S$23-$N$23)/5</f>
        <v>144</v>
      </c>
      <c r="P23" s="21">
        <f>O23+($S$23-$N$23)/5</f>
        <v>163</v>
      </c>
      <c r="Q23" s="21">
        <f>P23+($S$23-$N$23)/5</f>
        <v>182</v>
      </c>
      <c r="R23" s="21">
        <f>Q23+($S$23-$N$23)/5</f>
        <v>201</v>
      </c>
      <c r="S23" s="22">
        <v>220</v>
      </c>
      <c r="T23" s="21">
        <f>S23+($X$23-$S$23)/5</f>
        <v>257.8</v>
      </c>
      <c r="U23" s="21">
        <f>T23+($X$23-$S$23)/5</f>
        <v>295.60000000000002</v>
      </c>
      <c r="V23" s="21">
        <f>U23+($X$23-$S$23)/5</f>
        <v>333.40000000000003</v>
      </c>
      <c r="W23" s="21">
        <f>V23+($X$23-$S$23)/5</f>
        <v>371.20000000000005</v>
      </c>
      <c r="X23" s="22">
        <v>409</v>
      </c>
      <c r="Y23" s="21">
        <f>X23+($AC$23-$X$23)/5</f>
        <v>449.4</v>
      </c>
      <c r="Z23" s="21">
        <f>Y23+($AC$23-$X$23)/5</f>
        <v>489.79999999999995</v>
      </c>
      <c r="AA23" s="21">
        <f>Z23+($AC$23-$X$23)/5</f>
        <v>530.19999999999993</v>
      </c>
      <c r="AB23" s="21">
        <f>AA23+($AC$23-$X$23)/5</f>
        <v>570.59999999999991</v>
      </c>
      <c r="AC23" s="22">
        <v>611</v>
      </c>
      <c r="AD23" s="21">
        <f>AC23+($AH$23-$AC$23)/5</f>
        <v>655.4</v>
      </c>
      <c r="AE23" s="21">
        <f>AD23+($AH$23-$AC$23)/5</f>
        <v>699.8</v>
      </c>
      <c r="AF23" s="21">
        <f>AE23+($AH$23-$AC$23)/5</f>
        <v>744.19999999999993</v>
      </c>
      <c r="AG23" s="21">
        <f>AF23+($AH$23-$AC$23)/5</f>
        <v>788.59999999999991</v>
      </c>
      <c r="AH23" s="22">
        <v>833</v>
      </c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</row>
    <row r="24" spans="2:67">
      <c r="C24" s="18" t="s">
        <v>11</v>
      </c>
      <c r="D24" s="19" t="s">
        <v>12</v>
      </c>
      <c r="E24" s="19" t="s">
        <v>12</v>
      </c>
      <c r="F24" s="19" t="s">
        <v>12</v>
      </c>
      <c r="G24" s="19" t="s">
        <v>12</v>
      </c>
      <c r="H24" s="19" t="s">
        <v>12</v>
      </c>
      <c r="I24" s="19" t="s">
        <v>12</v>
      </c>
      <c r="J24" s="19" t="s">
        <v>12</v>
      </c>
      <c r="K24" s="19" t="s">
        <v>12</v>
      </c>
      <c r="L24" s="19" t="s">
        <v>12</v>
      </c>
      <c r="M24" s="19" t="s">
        <v>12</v>
      </c>
      <c r="N24" s="19" t="s">
        <v>12</v>
      </c>
      <c r="O24" s="19" t="s">
        <v>12</v>
      </c>
      <c r="P24" s="19" t="s">
        <v>12</v>
      </c>
      <c r="Q24" s="19" t="s">
        <v>12</v>
      </c>
      <c r="R24" s="19" t="s">
        <v>12</v>
      </c>
      <c r="S24" s="19" t="s">
        <v>12</v>
      </c>
      <c r="T24" s="19" t="s">
        <v>12</v>
      </c>
      <c r="U24" s="19" t="s">
        <v>12</v>
      </c>
      <c r="V24" s="19" t="s">
        <v>12</v>
      </c>
      <c r="W24" s="19" t="s">
        <v>12</v>
      </c>
      <c r="X24" s="19" t="s">
        <v>12</v>
      </c>
      <c r="Y24" s="19" t="s">
        <v>12</v>
      </c>
      <c r="Z24" s="19" t="s">
        <v>12</v>
      </c>
      <c r="AA24" s="19" t="s">
        <v>12</v>
      </c>
      <c r="AB24" s="19" t="s">
        <v>12</v>
      </c>
      <c r="AC24" s="19" t="s">
        <v>12</v>
      </c>
      <c r="AD24" s="19" t="s">
        <v>12</v>
      </c>
      <c r="AE24" s="19" t="s">
        <v>12</v>
      </c>
      <c r="AF24" s="19" t="s">
        <v>12</v>
      </c>
      <c r="AG24" s="19" t="s">
        <v>12</v>
      </c>
      <c r="AH24" s="19" t="s">
        <v>12</v>
      </c>
      <c r="AI24" s="23"/>
    </row>
    <row r="25" spans="2:67" ht="15" thickBot="1">
      <c r="N25" s="22"/>
      <c r="S25" s="22"/>
    </row>
    <row r="26" spans="2:67" ht="16" thickTop="1" thickBot="1">
      <c r="B26" s="10" t="s">
        <v>16</v>
      </c>
      <c r="C26" s="11" t="s">
        <v>17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2:67" ht="16" thickTop="1" thickBot="1">
      <c r="C27" s="20">
        <v>2022</v>
      </c>
      <c r="D27" s="3">
        <v>0</v>
      </c>
      <c r="E27" s="3">
        <v>0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</row>
    <row r="28" spans="2:67" ht="16" thickTop="1" thickBot="1">
      <c r="C28" s="20">
        <v>2023</v>
      </c>
      <c r="D28" s="3">
        <v>0</v>
      </c>
      <c r="E28" s="3">
        <v>0</v>
      </c>
      <c r="F28" s="3">
        <v>0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</row>
    <row r="29" spans="2:67" ht="16" thickTop="1" thickBot="1">
      <c r="C29" s="20">
        <v>2024</v>
      </c>
      <c r="D29" s="3">
        <v>0</v>
      </c>
      <c r="E29" s="3">
        <v>0</v>
      </c>
      <c r="F29" s="3">
        <v>0</v>
      </c>
      <c r="G29" s="3">
        <v>0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">
        <v>1</v>
      </c>
      <c r="AE29" s="3">
        <v>1</v>
      </c>
      <c r="AF29" s="3">
        <v>1</v>
      </c>
      <c r="AG29" s="3">
        <v>1</v>
      </c>
      <c r="AH29" s="3">
        <v>1</v>
      </c>
    </row>
    <row r="30" spans="2:67" ht="16" thickTop="1" thickBot="1">
      <c r="B30" s="24"/>
      <c r="C30" s="20">
        <v>2025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1</v>
      </c>
      <c r="J30" s="3">
        <v>1</v>
      </c>
      <c r="K30" s="3">
        <v>1</v>
      </c>
      <c r="L30" s="3">
        <v>1</v>
      </c>
      <c r="M30" s="3">
        <v>1</v>
      </c>
      <c r="N30" s="3">
        <v>1</v>
      </c>
      <c r="O30" s="3">
        <v>1</v>
      </c>
      <c r="P30" s="3">
        <v>1</v>
      </c>
      <c r="Q30" s="3">
        <v>1</v>
      </c>
      <c r="R30" s="3">
        <v>1</v>
      </c>
      <c r="S30" s="3">
        <v>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1</v>
      </c>
      <c r="AA30" s="3">
        <v>1</v>
      </c>
      <c r="AB30" s="3">
        <v>1</v>
      </c>
      <c r="AC30" s="3">
        <v>1</v>
      </c>
      <c r="AD30" s="3">
        <v>1</v>
      </c>
      <c r="AE30" s="3">
        <v>1</v>
      </c>
      <c r="AF30" s="3">
        <v>1</v>
      </c>
      <c r="AG30" s="3">
        <v>1</v>
      </c>
      <c r="AH30" s="3">
        <v>1</v>
      </c>
    </row>
    <row r="31" spans="2:67" ht="16" thickTop="1" thickBot="1">
      <c r="C31" s="20">
        <v>2026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">
        <v>1</v>
      </c>
      <c r="AE31" s="3">
        <v>1</v>
      </c>
      <c r="AF31" s="3">
        <v>1</v>
      </c>
      <c r="AG31" s="3">
        <v>1</v>
      </c>
      <c r="AH31" s="3">
        <v>1</v>
      </c>
    </row>
    <row r="32" spans="2:67" ht="16" thickTop="1" thickBot="1">
      <c r="C32" s="20">
        <v>2027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</v>
      </c>
      <c r="L32" s="3">
        <v>1</v>
      </c>
      <c r="M32" s="3">
        <v>1</v>
      </c>
      <c r="N32" s="3">
        <v>1</v>
      </c>
      <c r="O32" s="3">
        <v>1</v>
      </c>
      <c r="P32" s="3">
        <v>1</v>
      </c>
      <c r="Q32" s="3">
        <v>1</v>
      </c>
      <c r="R32" s="3">
        <v>1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1</v>
      </c>
      <c r="Y32" s="3">
        <v>1</v>
      </c>
      <c r="Z32" s="3">
        <v>1</v>
      </c>
      <c r="AA32" s="3">
        <v>1</v>
      </c>
      <c r="AB32" s="3">
        <v>1</v>
      </c>
      <c r="AC32" s="3">
        <v>1</v>
      </c>
      <c r="AD32" s="3">
        <v>1</v>
      </c>
      <c r="AE32" s="3">
        <v>1</v>
      </c>
      <c r="AF32" s="3">
        <v>1</v>
      </c>
      <c r="AG32" s="3">
        <v>1</v>
      </c>
      <c r="AH32" s="3">
        <v>1</v>
      </c>
    </row>
    <row r="33" spans="3:34" ht="16" thickTop="1" thickBot="1">
      <c r="C33" s="20">
        <v>2028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</row>
    <row r="34" spans="3:34" ht="16" thickTop="1" thickBot="1">
      <c r="C34" s="20">
        <v>2029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1</v>
      </c>
      <c r="N34" s="3">
        <v>1</v>
      </c>
      <c r="O34" s="3">
        <v>1</v>
      </c>
      <c r="P34" s="3">
        <v>1</v>
      </c>
      <c r="Q34" s="3">
        <v>1</v>
      </c>
      <c r="R34" s="3">
        <v>1</v>
      </c>
      <c r="S34" s="3">
        <v>1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  <c r="Z34" s="3">
        <v>1</v>
      </c>
      <c r="AA34" s="3">
        <v>1</v>
      </c>
      <c r="AB34" s="3">
        <v>1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1</v>
      </c>
    </row>
    <row r="35" spans="3:34" ht="16" thickTop="1" thickBot="1">
      <c r="C35" s="20">
        <v>2030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1</v>
      </c>
      <c r="O35" s="3">
        <v>1</v>
      </c>
      <c r="P35" s="3">
        <v>1</v>
      </c>
      <c r="Q35" s="3">
        <v>1</v>
      </c>
      <c r="R35" s="3">
        <v>1</v>
      </c>
      <c r="S35" s="3">
        <v>1</v>
      </c>
      <c r="T35" s="3">
        <v>1</v>
      </c>
      <c r="U35" s="3">
        <v>1</v>
      </c>
      <c r="V35" s="3">
        <v>1</v>
      </c>
      <c r="W35" s="3">
        <v>1</v>
      </c>
      <c r="X35" s="3">
        <v>1</v>
      </c>
      <c r="Y35" s="3">
        <v>1</v>
      </c>
      <c r="Z35" s="3">
        <v>1</v>
      </c>
      <c r="AA35" s="3">
        <v>1</v>
      </c>
      <c r="AB35" s="3">
        <v>1</v>
      </c>
      <c r="AC35" s="3">
        <v>1</v>
      </c>
      <c r="AD35" s="3">
        <v>1</v>
      </c>
      <c r="AE35" s="3">
        <v>1</v>
      </c>
      <c r="AF35" s="3">
        <v>1</v>
      </c>
      <c r="AG35" s="3">
        <v>1</v>
      </c>
      <c r="AH35" s="3">
        <v>1</v>
      </c>
    </row>
    <row r="36" spans="3:34" ht="16" thickTop="1" thickBot="1">
      <c r="C36" s="20">
        <v>2031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1</v>
      </c>
      <c r="P36" s="3">
        <v>1</v>
      </c>
      <c r="Q36" s="3">
        <v>1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1</v>
      </c>
      <c r="Y36" s="3">
        <v>1</v>
      </c>
      <c r="Z36" s="3">
        <v>1</v>
      </c>
      <c r="AA36" s="3">
        <v>1</v>
      </c>
      <c r="AB36" s="3">
        <v>1</v>
      </c>
      <c r="AC36" s="3">
        <v>1</v>
      </c>
      <c r="AD36" s="3">
        <v>1</v>
      </c>
      <c r="AE36" s="3">
        <v>1</v>
      </c>
      <c r="AF36" s="3">
        <v>1</v>
      </c>
      <c r="AG36" s="3">
        <v>1</v>
      </c>
      <c r="AH36" s="3">
        <v>1</v>
      </c>
    </row>
    <row r="37" spans="3:34" ht="16" thickTop="1" thickBot="1">
      <c r="C37" s="20">
        <v>2032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1</v>
      </c>
      <c r="Q37" s="3">
        <v>1</v>
      </c>
      <c r="R37" s="3">
        <v>1</v>
      </c>
      <c r="S37" s="3">
        <v>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1</v>
      </c>
      <c r="Z37" s="3">
        <v>1</v>
      </c>
      <c r="AA37" s="3">
        <v>1</v>
      </c>
      <c r="AB37" s="3">
        <v>1</v>
      </c>
      <c r="AC37" s="3">
        <v>1</v>
      </c>
      <c r="AD37" s="3">
        <v>1</v>
      </c>
      <c r="AE37" s="3">
        <v>1</v>
      </c>
      <c r="AF37" s="3">
        <v>1</v>
      </c>
      <c r="AG37" s="3">
        <v>1</v>
      </c>
      <c r="AH37" s="3">
        <v>1</v>
      </c>
    </row>
    <row r="38" spans="3:34" ht="16" thickTop="1" thickBot="1">
      <c r="C38" s="20">
        <v>2033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1</v>
      </c>
      <c r="R38" s="3">
        <v>1</v>
      </c>
      <c r="S38" s="3">
        <v>1</v>
      </c>
      <c r="T38" s="3">
        <v>1</v>
      </c>
      <c r="U38" s="3">
        <v>1</v>
      </c>
      <c r="V38" s="3">
        <v>1</v>
      </c>
      <c r="W38" s="3">
        <v>1</v>
      </c>
      <c r="X38" s="3">
        <v>1</v>
      </c>
      <c r="Y38" s="3">
        <v>1</v>
      </c>
      <c r="Z38" s="3">
        <v>1</v>
      </c>
      <c r="AA38" s="3">
        <v>1</v>
      </c>
      <c r="AB38" s="3">
        <v>1</v>
      </c>
      <c r="AC38" s="3">
        <v>1</v>
      </c>
      <c r="AD38" s="3">
        <v>1</v>
      </c>
      <c r="AE38" s="3">
        <v>1</v>
      </c>
      <c r="AF38" s="3">
        <v>1</v>
      </c>
      <c r="AG38" s="3">
        <v>1</v>
      </c>
      <c r="AH38" s="3">
        <v>1</v>
      </c>
    </row>
    <row r="39" spans="3:34" ht="16" thickTop="1" thickBot="1">
      <c r="C39" s="20">
        <v>2034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1</v>
      </c>
      <c r="S39" s="3">
        <v>1</v>
      </c>
      <c r="T39" s="3">
        <v>1</v>
      </c>
      <c r="U39" s="3">
        <v>1</v>
      </c>
      <c r="V39" s="3">
        <v>1</v>
      </c>
      <c r="W39" s="3">
        <v>1</v>
      </c>
      <c r="X39" s="3">
        <v>1</v>
      </c>
      <c r="Y39" s="3">
        <v>1</v>
      </c>
      <c r="Z39" s="3">
        <v>1</v>
      </c>
      <c r="AA39" s="3">
        <v>1</v>
      </c>
      <c r="AB39" s="3">
        <v>1</v>
      </c>
      <c r="AC39" s="3">
        <v>1</v>
      </c>
      <c r="AD39" s="3">
        <v>1</v>
      </c>
      <c r="AE39" s="3">
        <v>1</v>
      </c>
      <c r="AF39" s="3">
        <v>1</v>
      </c>
      <c r="AG39" s="3">
        <v>1</v>
      </c>
      <c r="AH39" s="3">
        <v>1</v>
      </c>
    </row>
    <row r="40" spans="3:34" ht="16" thickTop="1" thickBot="1">
      <c r="C40" s="20">
        <v>2035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1</v>
      </c>
      <c r="T40" s="3">
        <v>1</v>
      </c>
      <c r="U40" s="3">
        <v>1</v>
      </c>
      <c r="V40" s="3">
        <v>1</v>
      </c>
      <c r="W40" s="3">
        <v>1</v>
      </c>
      <c r="X40" s="3">
        <v>1</v>
      </c>
      <c r="Y40" s="3">
        <v>1</v>
      </c>
      <c r="Z40" s="3">
        <v>1</v>
      </c>
      <c r="AA40" s="3">
        <v>1</v>
      </c>
      <c r="AB40" s="3">
        <v>1</v>
      </c>
      <c r="AC40" s="3">
        <v>1</v>
      </c>
      <c r="AD40" s="3">
        <v>1</v>
      </c>
      <c r="AE40" s="3">
        <v>1</v>
      </c>
      <c r="AF40" s="3">
        <v>1</v>
      </c>
      <c r="AG40" s="3">
        <v>1</v>
      </c>
      <c r="AH40" s="3">
        <v>1</v>
      </c>
    </row>
  </sheetData>
  <protectedRanges>
    <protectedRange sqref="D7:AH7 D24:AH24" name="范围1"/>
  </protectedRange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CBAM-Carbon 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Lu</dc:creator>
  <cp:lastModifiedBy>Bin Lu</cp:lastModifiedBy>
  <dcterms:created xsi:type="dcterms:W3CDTF">2025-11-28T01:49:32Z</dcterms:created>
  <dcterms:modified xsi:type="dcterms:W3CDTF">2025-11-28T01:49:45Z</dcterms:modified>
</cp:coreProperties>
</file>