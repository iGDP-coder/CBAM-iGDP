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bin/Desktop/"/>
    </mc:Choice>
  </mc:AlternateContent>
  <xr:revisionPtr revIDLastSave="0" documentId="8_{847E93CC-3B60-D646-96F2-7C3D864EAD21}" xr6:coauthVersionLast="47" xr6:coauthVersionMax="47" xr10:uidLastSave="{00000000-0000-0000-0000-000000000000}"/>
  <bookViews>
    <workbookView xWindow="1800" yWindow="1820" windowWidth="27440" windowHeight="16200" xr2:uid="{4E5389F6-1253-AD4B-936C-1909D08060E7}"/>
  </bookViews>
  <sheets>
    <sheet name="CBAM - Mechanism Rules" sheetId="1" r:id="rId1"/>
  </sheets>
  <externalReferences>
    <externalReference r:id="rId2"/>
    <externalReference r:id="rId3"/>
  </externalReferences>
  <definedNames>
    <definedName name="rounding_decimal_places">[2]About!$A$123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9" i="1" l="1"/>
  <c r="T88" i="1"/>
  <c r="R88" i="1"/>
  <c r="Q88" i="1"/>
  <c r="N88" i="1"/>
  <c r="M88" i="1"/>
  <c r="L88" i="1"/>
  <c r="K88" i="1"/>
  <c r="J88" i="1"/>
  <c r="H88" i="1"/>
  <c r="G88" i="1"/>
  <c r="E88" i="1"/>
  <c r="P88" i="1" s="1"/>
  <c r="T87" i="1"/>
  <c r="S87" i="1"/>
  <c r="R87" i="1"/>
  <c r="Q87" i="1"/>
  <c r="P87" i="1"/>
  <c r="N87" i="1"/>
  <c r="M87" i="1"/>
  <c r="K87" i="1"/>
  <c r="J87" i="1"/>
  <c r="I87" i="1"/>
  <c r="H87" i="1"/>
  <c r="G87" i="1"/>
  <c r="F87" i="1"/>
  <c r="E87" i="1"/>
  <c r="L87" i="1" s="1"/>
  <c r="Q86" i="1"/>
  <c r="M86" i="1"/>
  <c r="K86" i="1"/>
  <c r="F86" i="1"/>
  <c r="E86" i="1"/>
  <c r="O86" i="1" s="1"/>
  <c r="E85" i="1"/>
  <c r="P84" i="1"/>
  <c r="O84" i="1"/>
  <c r="L84" i="1"/>
  <c r="E84" i="1"/>
  <c r="E83" i="1"/>
  <c r="S82" i="1"/>
  <c r="R82" i="1"/>
  <c r="O82" i="1"/>
  <c r="N82" i="1"/>
  <c r="J82" i="1"/>
  <c r="H82" i="1"/>
  <c r="G82" i="1"/>
  <c r="E82" i="1"/>
  <c r="L82" i="1" s="1"/>
  <c r="T81" i="1"/>
  <c r="S81" i="1"/>
  <c r="O81" i="1"/>
  <c r="M81" i="1"/>
  <c r="L81" i="1"/>
  <c r="J81" i="1"/>
  <c r="I81" i="1"/>
  <c r="G81" i="1"/>
  <c r="E81" i="1"/>
  <c r="N81" i="1" s="1"/>
  <c r="T80" i="1"/>
  <c r="R80" i="1"/>
  <c r="Q80" i="1"/>
  <c r="O80" i="1"/>
  <c r="M80" i="1"/>
  <c r="L80" i="1"/>
  <c r="J80" i="1"/>
  <c r="I80" i="1"/>
  <c r="G80" i="1"/>
  <c r="F80" i="1"/>
  <c r="E80" i="1"/>
  <c r="N80" i="1" s="1"/>
  <c r="S78" i="1"/>
  <c r="R78" i="1"/>
  <c r="Q78" i="1"/>
  <c r="O78" i="1"/>
  <c r="N78" i="1"/>
  <c r="L78" i="1"/>
  <c r="K78" i="1"/>
  <c r="I78" i="1"/>
  <c r="H78" i="1"/>
  <c r="G78" i="1"/>
  <c r="F78" i="1"/>
  <c r="E78" i="1"/>
  <c r="M78" i="1" s="1"/>
  <c r="S77" i="1"/>
  <c r="Q77" i="1"/>
  <c r="E77" i="1"/>
  <c r="P76" i="1"/>
  <c r="M76" i="1"/>
  <c r="J76" i="1"/>
  <c r="F76" i="1"/>
  <c r="E76" i="1"/>
  <c r="T75" i="1"/>
  <c r="S75" i="1"/>
  <c r="Q75" i="1"/>
  <c r="O75" i="1"/>
  <c r="N75" i="1"/>
  <c r="M75" i="1"/>
  <c r="L75" i="1"/>
  <c r="K75" i="1"/>
  <c r="J75" i="1"/>
  <c r="I75" i="1"/>
  <c r="G75" i="1"/>
  <c r="F75" i="1"/>
  <c r="E75" i="1"/>
  <c r="E74" i="1"/>
  <c r="S73" i="1"/>
  <c r="H73" i="1"/>
  <c r="E73" i="1"/>
  <c r="S72" i="1"/>
  <c r="R72" i="1"/>
  <c r="O72" i="1"/>
  <c r="N72" i="1"/>
  <c r="M72" i="1"/>
  <c r="K72" i="1"/>
  <c r="J72" i="1"/>
  <c r="H72" i="1"/>
  <c r="G72" i="1"/>
  <c r="E72" i="1"/>
  <c r="L72" i="1" s="1"/>
  <c r="T71" i="1"/>
  <c r="S71" i="1"/>
  <c r="R71" i="1"/>
  <c r="O71" i="1"/>
  <c r="M71" i="1"/>
  <c r="K71" i="1"/>
  <c r="I71" i="1"/>
  <c r="H71" i="1"/>
  <c r="G71" i="1"/>
  <c r="E71" i="1"/>
  <c r="L71" i="1" s="1"/>
  <c r="T70" i="1"/>
  <c r="Q70" i="1"/>
  <c r="M70" i="1"/>
  <c r="L70" i="1"/>
  <c r="I70" i="1"/>
  <c r="F70" i="1"/>
  <c r="E70" i="1"/>
  <c r="T69" i="1"/>
  <c r="S69" i="1"/>
  <c r="R69" i="1"/>
  <c r="Q69" i="1"/>
  <c r="O69" i="1"/>
  <c r="M69" i="1"/>
  <c r="K69" i="1"/>
  <c r="J69" i="1"/>
  <c r="I69" i="1"/>
  <c r="H69" i="1"/>
  <c r="G69" i="1"/>
  <c r="F69" i="1"/>
  <c r="E69" i="1"/>
  <c r="N69" i="1" s="1"/>
  <c r="R67" i="1"/>
  <c r="P67" i="1"/>
  <c r="L67" i="1"/>
  <c r="K67" i="1"/>
  <c r="G67" i="1"/>
  <c r="E67" i="1"/>
  <c r="E66" i="1"/>
  <c r="T65" i="1"/>
  <c r="S65" i="1"/>
  <c r="R65" i="1"/>
  <c r="Q65" i="1"/>
  <c r="O65" i="1"/>
  <c r="N65" i="1"/>
  <c r="M65" i="1"/>
  <c r="K65" i="1"/>
  <c r="J65" i="1"/>
  <c r="I65" i="1"/>
  <c r="H65" i="1"/>
  <c r="G65" i="1"/>
  <c r="F65" i="1"/>
  <c r="E65" i="1"/>
  <c r="L65" i="1" s="1"/>
  <c r="T64" i="1"/>
  <c r="S64" i="1"/>
  <c r="O64" i="1"/>
  <c r="N64" i="1"/>
  <c r="K64" i="1"/>
  <c r="I64" i="1"/>
  <c r="G64" i="1"/>
  <c r="E64" i="1"/>
  <c r="M64" i="1" s="1"/>
  <c r="T63" i="1"/>
  <c r="E63" i="1"/>
  <c r="S63" i="1" s="1"/>
  <c r="R62" i="1"/>
  <c r="Q62" i="1"/>
  <c r="O62" i="1"/>
  <c r="N62" i="1"/>
  <c r="M62" i="1"/>
  <c r="K62" i="1"/>
  <c r="I62" i="1"/>
  <c r="G62" i="1"/>
  <c r="F62" i="1"/>
  <c r="E62" i="1"/>
  <c r="L62" i="1" s="1"/>
  <c r="T61" i="1"/>
  <c r="S61" i="1"/>
  <c r="R61" i="1"/>
  <c r="O61" i="1"/>
  <c r="N61" i="1"/>
  <c r="L61" i="1"/>
  <c r="K61" i="1"/>
  <c r="J61" i="1"/>
  <c r="I61" i="1"/>
  <c r="H61" i="1"/>
  <c r="G61" i="1"/>
  <c r="E61" i="1"/>
  <c r="M61" i="1" s="1"/>
  <c r="S60" i="1"/>
  <c r="E60" i="1"/>
  <c r="Q60" i="1" s="1"/>
  <c r="S59" i="1"/>
  <c r="Q59" i="1"/>
  <c r="E59" i="1"/>
  <c r="P59" i="1" s="1"/>
  <c r="R58" i="1"/>
  <c r="P58" i="1"/>
  <c r="O58" i="1"/>
  <c r="L58" i="1"/>
  <c r="E58" i="1"/>
  <c r="Q54" i="1"/>
  <c r="P54" i="1"/>
  <c r="O54" i="1"/>
  <c r="L54" i="1"/>
  <c r="I54" i="1"/>
  <c r="E54" i="1"/>
  <c r="S54" i="1" s="1"/>
  <c r="T53" i="1"/>
  <c r="Q53" i="1"/>
  <c r="N53" i="1"/>
  <c r="M53" i="1"/>
  <c r="K53" i="1"/>
  <c r="J53" i="1"/>
  <c r="I53" i="1"/>
  <c r="E53" i="1"/>
  <c r="N52" i="1"/>
  <c r="J52" i="1"/>
  <c r="H52" i="1"/>
  <c r="G52" i="1"/>
  <c r="E52" i="1"/>
  <c r="T51" i="1"/>
  <c r="S51" i="1"/>
  <c r="O51" i="1"/>
  <c r="M51" i="1"/>
  <c r="L51" i="1"/>
  <c r="J51" i="1"/>
  <c r="I51" i="1"/>
  <c r="G51" i="1"/>
  <c r="E51" i="1"/>
  <c r="N51" i="1" s="1"/>
  <c r="T50" i="1"/>
  <c r="R50" i="1"/>
  <c r="Q50" i="1"/>
  <c r="O50" i="1"/>
  <c r="M50" i="1"/>
  <c r="L50" i="1"/>
  <c r="J50" i="1"/>
  <c r="I50" i="1"/>
  <c r="G50" i="1"/>
  <c r="F50" i="1"/>
  <c r="E50" i="1"/>
  <c r="N50" i="1" s="1"/>
  <c r="S49" i="1"/>
  <c r="R49" i="1"/>
  <c r="Q49" i="1"/>
  <c r="O49" i="1"/>
  <c r="N49" i="1"/>
  <c r="L49" i="1"/>
  <c r="K49" i="1"/>
  <c r="I49" i="1"/>
  <c r="H49" i="1"/>
  <c r="G49" i="1"/>
  <c r="F49" i="1"/>
  <c r="E49" i="1"/>
  <c r="M49" i="1" s="1"/>
  <c r="S48" i="1"/>
  <c r="Q48" i="1"/>
  <c r="O48" i="1"/>
  <c r="N48" i="1"/>
  <c r="M48" i="1"/>
  <c r="L48" i="1"/>
  <c r="K48" i="1"/>
  <c r="E48" i="1"/>
  <c r="Q47" i="1"/>
  <c r="P47" i="1"/>
  <c r="N47" i="1"/>
  <c r="E47" i="1"/>
  <c r="H47" i="1" s="1"/>
  <c r="T46" i="1"/>
  <c r="S46" i="1"/>
  <c r="Q46" i="1"/>
  <c r="O46" i="1"/>
  <c r="N46" i="1"/>
  <c r="M46" i="1"/>
  <c r="L46" i="1"/>
  <c r="K46" i="1"/>
  <c r="J46" i="1"/>
  <c r="I46" i="1"/>
  <c r="G46" i="1"/>
  <c r="F46" i="1"/>
  <c r="E46" i="1"/>
  <c r="T45" i="1"/>
  <c r="P45" i="1"/>
  <c r="O45" i="1"/>
  <c r="M45" i="1"/>
  <c r="L45" i="1"/>
  <c r="K45" i="1"/>
  <c r="I45" i="1"/>
  <c r="H45" i="1"/>
  <c r="E45" i="1"/>
  <c r="P43" i="1"/>
  <c r="N43" i="1"/>
  <c r="M43" i="1"/>
  <c r="E43" i="1"/>
  <c r="R42" i="1"/>
  <c r="Q42" i="1"/>
  <c r="E42" i="1"/>
  <c r="O42" i="1" s="1"/>
  <c r="T41" i="1"/>
  <c r="S41" i="1"/>
  <c r="R41" i="1"/>
  <c r="P41" i="1"/>
  <c r="O41" i="1"/>
  <c r="M41" i="1"/>
  <c r="K41" i="1"/>
  <c r="J41" i="1"/>
  <c r="I41" i="1"/>
  <c r="H41" i="1"/>
  <c r="G41" i="1"/>
  <c r="F41" i="1"/>
  <c r="E41" i="1"/>
  <c r="O40" i="1"/>
  <c r="N40" i="1"/>
  <c r="M40" i="1"/>
  <c r="L40" i="1"/>
  <c r="K40" i="1"/>
  <c r="E40" i="1"/>
  <c r="P40" i="1" s="1"/>
  <c r="P39" i="1"/>
  <c r="E39" i="1"/>
  <c r="J39" i="1" s="1"/>
  <c r="S38" i="1"/>
  <c r="K38" i="1"/>
  <c r="I38" i="1"/>
  <c r="H38" i="1"/>
  <c r="G38" i="1"/>
  <c r="E38" i="1"/>
  <c r="Q37" i="1"/>
  <c r="O37" i="1"/>
  <c r="N37" i="1"/>
  <c r="M37" i="1"/>
  <c r="L37" i="1"/>
  <c r="J37" i="1"/>
  <c r="I37" i="1"/>
  <c r="E37" i="1"/>
  <c r="T36" i="1"/>
  <c r="S36" i="1"/>
  <c r="R36" i="1"/>
  <c r="Q36" i="1"/>
  <c r="O36" i="1"/>
  <c r="N36" i="1"/>
  <c r="M36" i="1"/>
  <c r="K36" i="1"/>
  <c r="J36" i="1"/>
  <c r="I36" i="1"/>
  <c r="H36" i="1"/>
  <c r="G36" i="1"/>
  <c r="F36" i="1"/>
  <c r="E36" i="1"/>
  <c r="L36" i="1" s="1"/>
  <c r="T35" i="1"/>
  <c r="S35" i="1"/>
  <c r="K35" i="1"/>
  <c r="I35" i="1"/>
  <c r="G35" i="1"/>
  <c r="F35" i="1"/>
  <c r="E35" i="1"/>
  <c r="M34" i="1"/>
  <c r="L34" i="1"/>
  <c r="K34" i="1"/>
  <c r="J34" i="1"/>
  <c r="I34" i="1"/>
  <c r="E34" i="1"/>
  <c r="P34" i="1" s="1"/>
  <c r="D32" i="1"/>
  <c r="E32" i="1" s="1"/>
  <c r="T31" i="1"/>
  <c r="S31" i="1"/>
  <c r="J31" i="1"/>
  <c r="I31" i="1"/>
  <c r="H31" i="1"/>
  <c r="F31" i="1"/>
  <c r="E31" i="1"/>
  <c r="D31" i="1"/>
  <c r="D30" i="1"/>
  <c r="E30" i="1" s="1"/>
  <c r="E29" i="1"/>
  <c r="R29" i="1" s="1"/>
  <c r="D29" i="1"/>
  <c r="D28" i="1"/>
  <c r="E28" i="1" s="1"/>
  <c r="S27" i="1"/>
  <c r="R27" i="1"/>
  <c r="Q27" i="1"/>
  <c r="I27" i="1"/>
  <c r="H27" i="1"/>
  <c r="G27" i="1"/>
  <c r="F27" i="1"/>
  <c r="E27" i="1"/>
  <c r="D27" i="1"/>
  <c r="D26" i="1"/>
  <c r="E26" i="1" s="1"/>
  <c r="T25" i="1"/>
  <c r="S25" i="1"/>
  <c r="R25" i="1"/>
  <c r="Q25" i="1"/>
  <c r="M25" i="1"/>
  <c r="L25" i="1"/>
  <c r="K25" i="1"/>
  <c r="J25" i="1"/>
  <c r="I25" i="1"/>
  <c r="H25" i="1"/>
  <c r="G25" i="1"/>
  <c r="F25" i="1"/>
  <c r="E25" i="1"/>
  <c r="N25" i="1" s="1"/>
  <c r="D25" i="1"/>
  <c r="D24" i="1"/>
  <c r="E24" i="1" s="1"/>
  <c r="D23" i="1"/>
  <c r="E23" i="1" s="1"/>
  <c r="D19" i="1"/>
  <c r="AG18" i="1"/>
  <c r="AF18" i="1"/>
  <c r="AE18" i="1"/>
  <c r="AD18" i="1"/>
  <c r="AC18" i="1"/>
  <c r="W18" i="1"/>
  <c r="V18" i="1"/>
  <c r="U18" i="1"/>
  <c r="T18" i="1"/>
  <c r="S18" i="1"/>
  <c r="M18" i="1"/>
  <c r="L18" i="1"/>
  <c r="K18" i="1"/>
  <c r="J18" i="1"/>
  <c r="I18" i="1"/>
  <c r="D18" i="1"/>
  <c r="B18" i="1"/>
  <c r="AB18" i="1" s="1"/>
  <c r="AG17" i="1"/>
  <c r="W17" i="1"/>
  <c r="N17" i="1"/>
  <c r="M17" i="1"/>
  <c r="D17" i="1"/>
  <c r="B17" i="1"/>
  <c r="AE17" i="1" s="1"/>
  <c r="AJ16" i="1"/>
  <c r="AI16" i="1"/>
  <c r="AF16" i="1"/>
  <c r="AE16" i="1"/>
  <c r="AD16" i="1"/>
  <c r="AC16" i="1"/>
  <c r="AB16" i="1"/>
  <c r="AA16" i="1"/>
  <c r="Z16" i="1"/>
  <c r="Y16" i="1"/>
  <c r="V16" i="1"/>
  <c r="U16" i="1"/>
  <c r="T16" i="1"/>
  <c r="S16" i="1"/>
  <c r="R16" i="1"/>
  <c r="Q16" i="1"/>
  <c r="P16" i="1"/>
  <c r="O16" i="1"/>
  <c r="L16" i="1"/>
  <c r="K16" i="1"/>
  <c r="J16" i="1"/>
  <c r="I16" i="1"/>
  <c r="H16" i="1"/>
  <c r="G16" i="1"/>
  <c r="F16" i="1"/>
  <c r="D16" i="1"/>
  <c r="B16" i="1"/>
  <c r="AH16" i="1" s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D15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D14" i="1"/>
  <c r="AG13" i="1"/>
  <c r="W13" i="1"/>
  <c r="N13" i="1"/>
  <c r="M13" i="1"/>
  <c r="D13" i="1"/>
  <c r="B13" i="1"/>
  <c r="AE13" i="1" s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D12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D11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D10" i="1"/>
  <c r="T32" i="1" l="1"/>
  <c r="J32" i="1"/>
  <c r="S32" i="1"/>
  <c r="H32" i="1"/>
  <c r="L32" i="1"/>
  <c r="P32" i="1"/>
  <c r="K32" i="1"/>
  <c r="I32" i="1"/>
  <c r="O32" i="1"/>
  <c r="G32" i="1"/>
  <c r="R32" i="1"/>
  <c r="F32" i="1"/>
  <c r="Q32" i="1"/>
  <c r="N32" i="1"/>
  <c r="M32" i="1"/>
  <c r="N30" i="1"/>
  <c r="T30" i="1"/>
  <c r="I30" i="1"/>
  <c r="H30" i="1"/>
  <c r="S30" i="1"/>
  <c r="G30" i="1"/>
  <c r="M30" i="1"/>
  <c r="R30" i="1"/>
  <c r="F30" i="1"/>
  <c r="L30" i="1"/>
  <c r="Q30" i="1"/>
  <c r="P30" i="1"/>
  <c r="O30" i="1"/>
  <c r="K30" i="1"/>
  <c r="J30" i="1"/>
  <c r="R23" i="1"/>
  <c r="H23" i="1"/>
  <c r="Q23" i="1"/>
  <c r="F23" i="1"/>
  <c r="P23" i="1"/>
  <c r="O23" i="1"/>
  <c r="K23" i="1"/>
  <c r="I23" i="1"/>
  <c r="N23" i="1"/>
  <c r="J23" i="1"/>
  <c r="T23" i="1"/>
  <c r="M23" i="1"/>
  <c r="S23" i="1"/>
  <c r="G23" i="1"/>
  <c r="L23" i="1"/>
  <c r="Q26" i="1"/>
  <c r="G26" i="1"/>
  <c r="J26" i="1"/>
  <c r="T26" i="1"/>
  <c r="I26" i="1"/>
  <c r="O26" i="1"/>
  <c r="S26" i="1"/>
  <c r="H26" i="1"/>
  <c r="R26" i="1"/>
  <c r="F26" i="1"/>
  <c r="M26" i="1"/>
  <c r="P26" i="1"/>
  <c r="L26" i="1"/>
  <c r="K26" i="1"/>
  <c r="N26" i="1"/>
  <c r="M28" i="1"/>
  <c r="T28" i="1"/>
  <c r="I28" i="1"/>
  <c r="S28" i="1"/>
  <c r="H28" i="1"/>
  <c r="R28" i="1"/>
  <c r="G28" i="1"/>
  <c r="N28" i="1"/>
  <c r="Q28" i="1"/>
  <c r="F28" i="1"/>
  <c r="O28" i="1"/>
  <c r="P28" i="1"/>
  <c r="K28" i="1"/>
  <c r="L28" i="1"/>
  <c r="J28" i="1"/>
  <c r="K24" i="1"/>
  <c r="L24" i="1"/>
  <c r="J24" i="1"/>
  <c r="Q24" i="1"/>
  <c r="F24" i="1"/>
  <c r="O24" i="1"/>
  <c r="T24" i="1"/>
  <c r="I24" i="1"/>
  <c r="S24" i="1"/>
  <c r="H24" i="1"/>
  <c r="P24" i="1"/>
  <c r="R24" i="1"/>
  <c r="G24" i="1"/>
  <c r="N24" i="1"/>
  <c r="M24" i="1"/>
  <c r="AH13" i="1"/>
  <c r="X17" i="1"/>
  <c r="AI13" i="1"/>
  <c r="H29" i="1"/>
  <c r="AJ17" i="1"/>
  <c r="H42" i="1"/>
  <c r="T43" i="1"/>
  <c r="J43" i="1"/>
  <c r="O43" i="1"/>
  <c r="Q43" i="1"/>
  <c r="R47" i="1"/>
  <c r="L13" i="1"/>
  <c r="V13" i="1"/>
  <c r="AF13" i="1"/>
  <c r="L17" i="1"/>
  <c r="V17" i="1"/>
  <c r="AF17" i="1"/>
  <c r="T27" i="1"/>
  <c r="J27" i="1"/>
  <c r="P27" i="1"/>
  <c r="O29" i="1"/>
  <c r="Q31" i="1"/>
  <c r="G31" i="1"/>
  <c r="N31" i="1"/>
  <c r="R31" i="1"/>
  <c r="R35" i="1"/>
  <c r="H35" i="1"/>
  <c r="J35" i="1"/>
  <c r="Q35" i="1"/>
  <c r="T38" i="1"/>
  <c r="J38" i="1"/>
  <c r="Q38" i="1"/>
  <c r="F38" i="1"/>
  <c r="R38" i="1"/>
  <c r="O39" i="1"/>
  <c r="L43" i="1"/>
  <c r="M47" i="1"/>
  <c r="L52" i="1"/>
  <c r="Q52" i="1"/>
  <c r="F52" i="1"/>
  <c r="M52" i="1"/>
  <c r="K52" i="1"/>
  <c r="T52" i="1"/>
  <c r="I52" i="1"/>
  <c r="L76" i="1"/>
  <c r="S76" i="1"/>
  <c r="H76" i="1"/>
  <c r="R76" i="1"/>
  <c r="G76" i="1"/>
  <c r="O76" i="1"/>
  <c r="N76" i="1"/>
  <c r="K76" i="1"/>
  <c r="T76" i="1"/>
  <c r="I76" i="1"/>
  <c r="Q29" i="1"/>
  <c r="N74" i="1"/>
  <c r="R74" i="1"/>
  <c r="G74" i="1"/>
  <c r="Q74" i="1"/>
  <c r="F74" i="1"/>
  <c r="M74" i="1"/>
  <c r="L74" i="1"/>
  <c r="J74" i="1"/>
  <c r="S74" i="1"/>
  <c r="H74" i="1"/>
  <c r="P42" i="1"/>
  <c r="F42" i="1"/>
  <c r="T42" i="1"/>
  <c r="I42" i="1"/>
  <c r="I74" i="1"/>
  <c r="P83" i="1"/>
  <c r="F83" i="1"/>
  <c r="L83" i="1"/>
  <c r="K83" i="1"/>
  <c r="S83" i="1"/>
  <c r="H83" i="1"/>
  <c r="R83" i="1"/>
  <c r="G83" i="1"/>
  <c r="O83" i="1"/>
  <c r="M83" i="1"/>
  <c r="S29" i="1"/>
  <c r="G42" i="1"/>
  <c r="S42" i="1"/>
  <c r="L60" i="1"/>
  <c r="O60" i="1"/>
  <c r="J60" i="1"/>
  <c r="T60" i="1"/>
  <c r="I60" i="1"/>
  <c r="R60" i="1"/>
  <c r="G60" i="1"/>
  <c r="K74" i="1"/>
  <c r="I83" i="1"/>
  <c r="N85" i="1"/>
  <c r="M85" i="1"/>
  <c r="L85" i="1"/>
  <c r="T85" i="1"/>
  <c r="I85" i="1"/>
  <c r="S85" i="1"/>
  <c r="H85" i="1"/>
  <c r="Q85" i="1"/>
  <c r="F85" i="1"/>
  <c r="O85" i="1"/>
  <c r="P17" i="1"/>
  <c r="R59" i="1"/>
  <c r="H59" i="1"/>
  <c r="T59" i="1"/>
  <c r="I59" i="1"/>
  <c r="O59" i="1"/>
  <c r="N59" i="1"/>
  <c r="L59" i="1"/>
  <c r="F60" i="1"/>
  <c r="N63" i="1"/>
  <c r="K63" i="1"/>
  <c r="J63" i="1"/>
  <c r="R63" i="1"/>
  <c r="G63" i="1"/>
  <c r="Q63" i="1"/>
  <c r="F63" i="1"/>
  <c r="O63" i="1"/>
  <c r="P66" i="1"/>
  <c r="F66" i="1"/>
  <c r="S66" i="1"/>
  <c r="H66" i="1"/>
  <c r="R66" i="1"/>
  <c r="G66" i="1"/>
  <c r="N66" i="1"/>
  <c r="M66" i="1"/>
  <c r="K66" i="1"/>
  <c r="T66" i="1"/>
  <c r="I66" i="1"/>
  <c r="O74" i="1"/>
  <c r="J83" i="1"/>
  <c r="G85" i="1"/>
  <c r="P29" i="1"/>
  <c r="F29" i="1"/>
  <c r="F39" i="1"/>
  <c r="F13" i="1"/>
  <c r="Z13" i="1"/>
  <c r="Z17" i="1"/>
  <c r="G39" i="1"/>
  <c r="G13" i="1"/>
  <c r="Q13" i="1"/>
  <c r="AA13" i="1"/>
  <c r="G17" i="1"/>
  <c r="Q17" i="1"/>
  <c r="AA17" i="1"/>
  <c r="N18" i="1"/>
  <c r="X18" i="1"/>
  <c r="AH18" i="1"/>
  <c r="K27" i="1"/>
  <c r="J29" i="1"/>
  <c r="K31" i="1"/>
  <c r="L35" i="1"/>
  <c r="L38" i="1"/>
  <c r="H39" i="1"/>
  <c r="T39" i="1"/>
  <c r="J42" i="1"/>
  <c r="F43" i="1"/>
  <c r="R43" i="1"/>
  <c r="F47" i="1"/>
  <c r="S47" i="1"/>
  <c r="O52" i="1"/>
  <c r="F59" i="1"/>
  <c r="H60" i="1"/>
  <c r="H63" i="1"/>
  <c r="J66" i="1"/>
  <c r="T73" i="1"/>
  <c r="J73" i="1"/>
  <c r="L73" i="1"/>
  <c r="K73" i="1"/>
  <c r="R73" i="1"/>
  <c r="G73" i="1"/>
  <c r="Q73" i="1"/>
  <c r="F73" i="1"/>
  <c r="O73" i="1"/>
  <c r="M73" i="1"/>
  <c r="P74" i="1"/>
  <c r="Q76" i="1"/>
  <c r="N83" i="1"/>
  <c r="J85" i="1"/>
  <c r="AH17" i="1"/>
  <c r="Q39" i="1"/>
  <c r="P13" i="1"/>
  <c r="AJ13" i="1"/>
  <c r="H13" i="1"/>
  <c r="R13" i="1"/>
  <c r="AB13" i="1"/>
  <c r="H17" i="1"/>
  <c r="R17" i="1"/>
  <c r="AB17" i="1"/>
  <c r="O18" i="1"/>
  <c r="Y18" i="1"/>
  <c r="AI18" i="1"/>
  <c r="L27" i="1"/>
  <c r="K29" i="1"/>
  <c r="L31" i="1"/>
  <c r="N34" i="1"/>
  <c r="O34" i="1"/>
  <c r="Q34" i="1"/>
  <c r="M35" i="1"/>
  <c r="M38" i="1"/>
  <c r="I39" i="1"/>
  <c r="R40" i="1"/>
  <c r="H40" i="1"/>
  <c r="S40" i="1"/>
  <c r="G40" i="1"/>
  <c r="Q40" i="1"/>
  <c r="K42" i="1"/>
  <c r="G43" i="1"/>
  <c r="S43" i="1"/>
  <c r="G47" i="1"/>
  <c r="T47" i="1"/>
  <c r="P52" i="1"/>
  <c r="N58" i="1"/>
  <c r="M58" i="1"/>
  <c r="T58" i="1"/>
  <c r="I58" i="1"/>
  <c r="S58" i="1"/>
  <c r="H58" i="1"/>
  <c r="Q58" i="1"/>
  <c r="F58" i="1"/>
  <c r="G59" i="1"/>
  <c r="K60" i="1"/>
  <c r="I63" i="1"/>
  <c r="L66" i="1"/>
  <c r="T74" i="1"/>
  <c r="P77" i="1"/>
  <c r="F77" i="1"/>
  <c r="N77" i="1"/>
  <c r="M77" i="1"/>
  <c r="J77" i="1"/>
  <c r="T77" i="1"/>
  <c r="I77" i="1"/>
  <c r="R77" i="1"/>
  <c r="G77" i="1"/>
  <c r="O77" i="1"/>
  <c r="Q83" i="1"/>
  <c r="K85" i="1"/>
  <c r="G29" i="1"/>
  <c r="O17" i="1"/>
  <c r="AI17" i="1"/>
  <c r="I13" i="1"/>
  <c r="S13" i="1"/>
  <c r="AC13" i="1"/>
  <c r="I17" i="1"/>
  <c r="S17" i="1"/>
  <c r="AC17" i="1"/>
  <c r="F18" i="1"/>
  <c r="P18" i="1"/>
  <c r="Z18" i="1"/>
  <c r="AJ18" i="1"/>
  <c r="M27" i="1"/>
  <c r="L29" i="1"/>
  <c r="M31" i="1"/>
  <c r="F34" i="1"/>
  <c r="R34" i="1"/>
  <c r="N35" i="1"/>
  <c r="P37" i="1"/>
  <c r="F37" i="1"/>
  <c r="K37" i="1"/>
  <c r="R37" i="1"/>
  <c r="N38" i="1"/>
  <c r="F40" i="1"/>
  <c r="T40" i="1"/>
  <c r="L42" i="1"/>
  <c r="H43" i="1"/>
  <c r="N45" i="1"/>
  <c r="J45" i="1"/>
  <c r="Q45" i="1"/>
  <c r="P48" i="1"/>
  <c r="F48" i="1"/>
  <c r="J48" i="1"/>
  <c r="R48" i="1"/>
  <c r="G48" i="1"/>
  <c r="T48" i="1"/>
  <c r="R52" i="1"/>
  <c r="T54" i="1"/>
  <c r="J54" i="1"/>
  <c r="R54" i="1"/>
  <c r="G54" i="1"/>
  <c r="N54" i="1"/>
  <c r="M54" i="1"/>
  <c r="K54" i="1"/>
  <c r="G58" i="1"/>
  <c r="J59" i="1"/>
  <c r="M60" i="1"/>
  <c r="L63" i="1"/>
  <c r="O66" i="1"/>
  <c r="I73" i="1"/>
  <c r="H77" i="1"/>
  <c r="T83" i="1"/>
  <c r="P85" i="1"/>
  <c r="N39" i="1"/>
  <c r="L39" i="1"/>
  <c r="O13" i="1"/>
  <c r="R39" i="1"/>
  <c r="F17" i="1"/>
  <c r="I29" i="1"/>
  <c r="S39" i="1"/>
  <c r="L47" i="1"/>
  <c r="O47" i="1"/>
  <c r="K47" i="1"/>
  <c r="J13" i="1"/>
  <c r="T13" i="1"/>
  <c r="AD13" i="1"/>
  <c r="M16" i="1"/>
  <c r="W16" i="1"/>
  <c r="AG16" i="1"/>
  <c r="J17" i="1"/>
  <c r="T17" i="1"/>
  <c r="AD17" i="1"/>
  <c r="G18" i="1"/>
  <c r="Q18" i="1"/>
  <c r="AA18" i="1"/>
  <c r="B19" i="1"/>
  <c r="O25" i="1"/>
  <c r="N27" i="1"/>
  <c r="M29" i="1"/>
  <c r="O31" i="1"/>
  <c r="G34" i="1"/>
  <c r="S34" i="1"/>
  <c r="O35" i="1"/>
  <c r="G37" i="1"/>
  <c r="S37" i="1"/>
  <c r="O38" i="1"/>
  <c r="K39" i="1"/>
  <c r="I40" i="1"/>
  <c r="L41" i="1"/>
  <c r="N41" i="1"/>
  <c r="Q41" i="1"/>
  <c r="M42" i="1"/>
  <c r="I43" i="1"/>
  <c r="F45" i="1"/>
  <c r="R45" i="1"/>
  <c r="I47" i="1"/>
  <c r="H48" i="1"/>
  <c r="S52" i="1"/>
  <c r="F54" i="1"/>
  <c r="J58" i="1"/>
  <c r="K59" i="1"/>
  <c r="N60" i="1"/>
  <c r="M63" i="1"/>
  <c r="Q66" i="1"/>
  <c r="N73" i="1"/>
  <c r="K77" i="1"/>
  <c r="T84" i="1"/>
  <c r="J84" i="1"/>
  <c r="R84" i="1"/>
  <c r="G84" i="1"/>
  <c r="Q84" i="1"/>
  <c r="F84" i="1"/>
  <c r="N84" i="1"/>
  <c r="M84" i="1"/>
  <c r="K84" i="1"/>
  <c r="S84" i="1"/>
  <c r="H84" i="1"/>
  <c r="R85" i="1"/>
  <c r="X13" i="1"/>
  <c r="Y13" i="1"/>
  <c r="Y17" i="1"/>
  <c r="T29" i="1"/>
  <c r="K13" i="1"/>
  <c r="U13" i="1"/>
  <c r="N16" i="1"/>
  <c r="X16" i="1"/>
  <c r="K17" i="1"/>
  <c r="U17" i="1"/>
  <c r="H18" i="1"/>
  <c r="R18" i="1"/>
  <c r="P25" i="1"/>
  <c r="O27" i="1"/>
  <c r="N29" i="1"/>
  <c r="P31" i="1"/>
  <c r="H34" i="1"/>
  <c r="T34" i="1"/>
  <c r="P35" i="1"/>
  <c r="H37" i="1"/>
  <c r="T37" i="1"/>
  <c r="P38" i="1"/>
  <c r="M39" i="1"/>
  <c r="J40" i="1"/>
  <c r="N42" i="1"/>
  <c r="K43" i="1"/>
  <c r="G45" i="1"/>
  <c r="S45" i="1"/>
  <c r="J47" i="1"/>
  <c r="I48" i="1"/>
  <c r="P53" i="1"/>
  <c r="F53" i="1"/>
  <c r="L53" i="1"/>
  <c r="S53" i="1"/>
  <c r="H53" i="1"/>
  <c r="R53" i="1"/>
  <c r="G53" i="1"/>
  <c r="O53" i="1"/>
  <c r="H54" i="1"/>
  <c r="K58" i="1"/>
  <c r="M59" i="1"/>
  <c r="P60" i="1"/>
  <c r="P63" i="1"/>
  <c r="T67" i="1"/>
  <c r="J67" i="1"/>
  <c r="N67" i="1"/>
  <c r="M67" i="1"/>
  <c r="I67" i="1"/>
  <c r="S67" i="1"/>
  <c r="H67" i="1"/>
  <c r="Q67" i="1"/>
  <c r="F67" i="1"/>
  <c r="O67" i="1"/>
  <c r="P73" i="1"/>
  <c r="L77" i="1"/>
  <c r="I84" i="1"/>
  <c r="R70" i="1"/>
  <c r="H70" i="1"/>
  <c r="P70" i="1"/>
  <c r="J86" i="1"/>
  <c r="P36" i="1"/>
  <c r="R46" i="1"/>
  <c r="H46" i="1"/>
  <c r="P46" i="1"/>
  <c r="H50" i="1"/>
  <c r="S50" i="1"/>
  <c r="H62" i="1"/>
  <c r="S62" i="1"/>
  <c r="J64" i="1"/>
  <c r="P65" i="1"/>
  <c r="L69" i="1"/>
  <c r="G70" i="1"/>
  <c r="S70" i="1"/>
  <c r="N71" i="1"/>
  <c r="I72" i="1"/>
  <c r="T72" i="1"/>
  <c r="R75" i="1"/>
  <c r="H75" i="1"/>
  <c r="P75" i="1"/>
  <c r="H80" i="1"/>
  <c r="S80" i="1"/>
  <c r="I82" i="1"/>
  <c r="T82" i="1"/>
  <c r="L86" i="1"/>
  <c r="R51" i="1"/>
  <c r="H51" i="1"/>
  <c r="P51" i="1"/>
  <c r="L64" i="1"/>
  <c r="J70" i="1"/>
  <c r="P71" i="1"/>
  <c r="R81" i="1"/>
  <c r="H81" i="1"/>
  <c r="P81" i="1"/>
  <c r="K82" i="1"/>
  <c r="N86" i="1"/>
  <c r="T49" i="1"/>
  <c r="J49" i="1"/>
  <c r="P49" i="1"/>
  <c r="K50" i="1"/>
  <c r="F51" i="1"/>
  <c r="Q51" i="1"/>
  <c r="P61" i="1"/>
  <c r="F61" i="1"/>
  <c r="Q61" i="1"/>
  <c r="P69" i="1"/>
  <c r="K70" i="1"/>
  <c r="F71" i="1"/>
  <c r="Q71" i="1"/>
  <c r="T78" i="1"/>
  <c r="J78" i="1"/>
  <c r="P78" i="1"/>
  <c r="K80" i="1"/>
  <c r="F81" i="1"/>
  <c r="Q81" i="1"/>
  <c r="M82" i="1"/>
  <c r="T89" i="1"/>
  <c r="J89" i="1"/>
  <c r="S89" i="1"/>
  <c r="I89" i="1"/>
  <c r="R89" i="1"/>
  <c r="Q89" i="1"/>
  <c r="P89" i="1"/>
  <c r="O89" i="1"/>
  <c r="N89" i="1"/>
  <c r="M89" i="1"/>
  <c r="L89" i="1"/>
  <c r="R86" i="1"/>
  <c r="H86" i="1"/>
  <c r="P86" i="1"/>
  <c r="F89" i="1"/>
  <c r="G89" i="1"/>
  <c r="R64" i="1"/>
  <c r="H64" i="1"/>
  <c r="P64" i="1"/>
  <c r="N70" i="1"/>
  <c r="P82" i="1"/>
  <c r="G86" i="1"/>
  <c r="S86" i="1"/>
  <c r="H89" i="1"/>
  <c r="P50" i="1"/>
  <c r="K51" i="1"/>
  <c r="T62" i="1"/>
  <c r="J62" i="1"/>
  <c r="P62" i="1"/>
  <c r="F64" i="1"/>
  <c r="Q64" i="1"/>
  <c r="O70" i="1"/>
  <c r="J71" i="1"/>
  <c r="P72" i="1"/>
  <c r="F72" i="1"/>
  <c r="Q72" i="1"/>
  <c r="P80" i="1"/>
  <c r="K81" i="1"/>
  <c r="F82" i="1"/>
  <c r="Q82" i="1"/>
  <c r="I86" i="1"/>
  <c r="T86" i="1"/>
  <c r="K89" i="1"/>
  <c r="O87" i="1"/>
  <c r="I88" i="1"/>
  <c r="S88" i="1"/>
  <c r="O88" i="1"/>
  <c r="F88" i="1"/>
  <c r="H20" i="1" l="1"/>
  <c r="N20" i="1"/>
  <c r="L20" i="1"/>
  <c r="R20" i="1"/>
  <c r="AG20" i="1"/>
  <c r="AJ20" i="1"/>
  <c r="P20" i="1"/>
  <c r="AA20" i="1"/>
  <c r="V20" i="1"/>
  <c r="I20" i="1"/>
  <c r="Y20" i="1"/>
  <c r="AH20" i="1"/>
  <c r="AF19" i="1"/>
  <c r="AF20" i="1" s="1"/>
  <c r="V19" i="1"/>
  <c r="Z19" i="1"/>
  <c r="Z20" i="1" s="1"/>
  <c r="O19" i="1"/>
  <c r="O20" i="1" s="1"/>
  <c r="T19" i="1"/>
  <c r="T20" i="1" s="1"/>
  <c r="I19" i="1"/>
  <c r="AJ19" i="1"/>
  <c r="Y19" i="1"/>
  <c r="N19" i="1"/>
  <c r="J19" i="1"/>
  <c r="J20" i="1" s="1"/>
  <c r="R19" i="1"/>
  <c r="G19" i="1"/>
  <c r="G20" i="1" s="1"/>
  <c r="AI19" i="1"/>
  <c r="AI20" i="1" s="1"/>
  <c r="X19" i="1"/>
  <c r="X20" i="1" s="1"/>
  <c r="M19" i="1"/>
  <c r="M20" i="1" s="1"/>
  <c r="AD19" i="1"/>
  <c r="AD20" i="1" s="1"/>
  <c r="H19" i="1"/>
  <c r="Q19" i="1"/>
  <c r="Q20" i="1" s="1"/>
  <c r="AH19" i="1"/>
  <c r="W19" i="1"/>
  <c r="W20" i="1" s="1"/>
  <c r="L19" i="1"/>
  <c r="AC19" i="1"/>
  <c r="AC20" i="1" s="1"/>
  <c r="AB19" i="1"/>
  <c r="AB20" i="1" s="1"/>
  <c r="AG19" i="1"/>
  <c r="U19" i="1"/>
  <c r="U20" i="1" s="1"/>
  <c r="K19" i="1"/>
  <c r="K20" i="1" s="1"/>
  <c r="AE19" i="1"/>
  <c r="AE20" i="1" s="1"/>
  <c r="AA19" i="1"/>
  <c r="P19" i="1"/>
  <c r="F19" i="1"/>
  <c r="F20" i="1" s="1"/>
  <c r="S19" i="1"/>
  <c r="S20" i="1" s="1"/>
</calcChain>
</file>

<file path=xl/sharedStrings.xml><?xml version="1.0" encoding="utf-8"?>
<sst xmlns="http://schemas.openxmlformats.org/spreadsheetml/2006/main" count="137" uniqueCount="29">
  <si>
    <t>Scenario Selection --&gt;</t>
    <phoneticPr fontId="2" type="noConversion"/>
  </si>
  <si>
    <t>CBAM Module</t>
    <phoneticPr fontId="2" type="noConversion"/>
  </si>
  <si>
    <t>Steel</t>
  </si>
  <si>
    <r>
      <rPr>
        <sz val="11"/>
        <color rgb="FF000000"/>
        <rFont val="Trebuchet MS"/>
        <family val="2"/>
      </rPr>
      <t>　</t>
    </r>
  </si>
  <si>
    <r>
      <rPr>
        <sz val="12"/>
        <color rgb="FF000000"/>
        <rFont val="Trebuchet MS"/>
        <family val="2"/>
      </rPr>
      <t>　</t>
    </r>
  </si>
  <si>
    <r>
      <rPr>
        <b/>
        <sz val="14"/>
        <color rgb="FF000000"/>
        <rFont val="Trebuchet MS"/>
        <family val="2"/>
      </rPr>
      <t>　</t>
    </r>
  </si>
  <si>
    <r>
      <rPr>
        <b/>
        <sz val="11"/>
        <color rgb="FF000000"/>
        <rFont val="等线"/>
        <family val="4"/>
        <charset val="134"/>
      </rPr>
      <t>　</t>
    </r>
    <r>
      <rPr>
        <b/>
        <sz val="11"/>
        <color rgb="FF000000"/>
        <rFont val="Arial"/>
        <family val="2"/>
      </rPr>
      <t>CBAM-Mechanism Rules</t>
    </r>
    <phoneticPr fontId="2" type="noConversion"/>
  </si>
  <si>
    <t>Value Options</t>
    <phoneticPr fontId="2" type="noConversion"/>
  </si>
  <si>
    <t>Carbon Market Free Allowance Exit Ratio</t>
    <phoneticPr fontId="2" type="noConversion"/>
  </si>
  <si>
    <t>Free Allowance Exit</t>
    <phoneticPr fontId="2" type="noConversion"/>
  </si>
  <si>
    <t>Custom</t>
    <phoneticPr fontId="2" type="noConversion"/>
  </si>
  <si>
    <t>EU imports of Chinese steel products: volume and product structure</t>
    <phoneticPr fontId="2" type="noConversion"/>
  </si>
  <si>
    <t>Trade volume</t>
    <phoneticPr fontId="2" type="noConversion"/>
  </si>
  <si>
    <t>Total</t>
    <phoneticPr fontId="2" type="noConversion"/>
  </si>
  <si>
    <t>EU carbon market free allowance benchmark</t>
    <phoneticPr fontId="2" type="noConversion"/>
  </si>
  <si>
    <t>BAU</t>
    <phoneticPr fontId="2" type="noConversion"/>
  </si>
  <si>
    <t>DCS</t>
    <phoneticPr fontId="2" type="noConversion"/>
  </si>
  <si>
    <t>Sintered ore</t>
  </si>
  <si>
    <t>Alloys</t>
  </si>
  <si>
    <t>Pig iron (BF)</t>
  </si>
  <si>
    <t>Pig iron (smelting reduction)</t>
  </si>
  <si>
    <t>DRI</t>
  </si>
  <si>
    <t>Crude steel (BOF route)</t>
  </si>
  <si>
    <t>Crude steel (EAF route)</t>
  </si>
  <si>
    <t>Steel (BF-BOF route)</t>
  </si>
  <si>
    <t>Steel (DRI-EAF route)</t>
  </si>
  <si>
    <t>Steel (Scrap-EAF route)</t>
  </si>
  <si>
    <t>NES</t>
    <phoneticPr fontId="2" type="noConversion"/>
  </si>
  <si>
    <t>China's carbon market free allowance benchmark value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</si>
</sst>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9">
    <font>
      <sz val="11"/>
      <color theme="1"/>
      <name val="等线"/>
      <family val="2"/>
      <charset val="134"/>
      <scheme val="minor"/>
    </font>
    <font>
      <sz val="12"/>
      <color rgb="FF000000"/>
      <name val="微软雅黑"/>
      <family val="2"/>
      <charset val="134"/>
    </font>
    <font>
      <sz val="9"/>
      <name val="等线"/>
      <family val="2"/>
      <charset val="134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Trebuchet MS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  <font>
      <sz val="12"/>
      <color rgb="FF000000"/>
      <name val="Trebuchet MS"/>
      <family val="2"/>
    </font>
    <font>
      <b/>
      <sz val="14"/>
      <color rgb="FF000000"/>
      <name val="Arial"/>
      <family val="2"/>
    </font>
    <font>
      <b/>
      <sz val="14"/>
      <color rgb="FF000000"/>
      <name val="Trebuchet MS"/>
      <family val="2"/>
    </font>
    <font>
      <b/>
      <sz val="11"/>
      <color rgb="FF000000"/>
      <name val="等线"/>
      <family val="4"/>
      <charset val="134"/>
    </font>
    <font>
      <b/>
      <sz val="11"/>
      <color rgb="FF000000"/>
      <name val="Times New Roman"/>
      <family val="1"/>
    </font>
    <font>
      <sz val="8"/>
      <color theme="1"/>
      <name val="Arial"/>
      <family val="2"/>
    </font>
    <font>
      <sz val="11"/>
      <color rgb="FF000000"/>
      <name val="Times New Roman"/>
      <family val="1"/>
    </font>
    <font>
      <sz val="8"/>
      <color rgb="FF000000"/>
      <name val="Arial"/>
      <family val="2"/>
    </font>
    <font>
      <b/>
      <sz val="11"/>
      <color theme="0"/>
      <name val="等线"/>
      <family val="3"/>
      <charset val="134"/>
      <scheme val="minor"/>
    </font>
    <font>
      <b/>
      <sz val="11"/>
      <color theme="1" tint="4.9989318521683403E-2"/>
      <name val="Arial"/>
      <family val="2"/>
    </font>
    <font>
      <sz val="7.5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D9D9D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16" fillId="2" borderId="1" applyNumberFormat="0" applyAlignment="0" applyProtection="0"/>
  </cellStyleXfs>
  <cellXfs count="41">
    <xf numFmtId="0" fontId="0" fillId="0" borderId="0" xfId="0">
      <alignment vertical="center"/>
    </xf>
    <xf numFmtId="0" fontId="1" fillId="3" borderId="0" xfId="0" applyFont="1" applyFill="1" applyAlignment="1">
      <alignment horizontal="left" vertical="center"/>
    </xf>
    <xf numFmtId="0" fontId="3" fillId="4" borderId="0" xfId="0" applyFont="1" applyFill="1">
      <alignment vertical="center"/>
    </xf>
    <xf numFmtId="0" fontId="3" fillId="5" borderId="2" xfId="0" applyFont="1" applyFill="1" applyBorder="1">
      <alignment vertical="center"/>
    </xf>
    <xf numFmtId="0" fontId="4" fillId="6" borderId="0" xfId="0" applyFont="1" applyFill="1">
      <alignment vertical="center"/>
    </xf>
    <xf numFmtId="0" fontId="6" fillId="0" borderId="0" xfId="0" applyFont="1">
      <alignment vertical="center"/>
    </xf>
    <xf numFmtId="0" fontId="7" fillId="7" borderId="0" xfId="0" applyFont="1" applyFill="1" applyAlignment="1">
      <alignment horizontal="left" vertical="center"/>
    </xf>
    <xf numFmtId="0" fontId="9" fillId="7" borderId="0" xfId="0" applyFont="1" applyFill="1">
      <alignment vertical="center"/>
    </xf>
    <xf numFmtId="0" fontId="4" fillId="7" borderId="0" xfId="0" applyFont="1" applyFill="1">
      <alignment vertic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left" vertical="center"/>
    </xf>
    <xf numFmtId="0" fontId="4" fillId="8" borderId="0" xfId="0" applyFont="1" applyFill="1">
      <alignment vertical="center"/>
    </xf>
    <xf numFmtId="0" fontId="12" fillId="3" borderId="3" xfId="0" applyFont="1" applyFill="1" applyBorder="1">
      <alignment vertical="center"/>
    </xf>
    <xf numFmtId="10" fontId="4" fillId="0" borderId="0" xfId="0" applyNumberFormat="1" applyFont="1">
      <alignment vertical="center"/>
    </xf>
    <xf numFmtId="9" fontId="4" fillId="0" borderId="0" xfId="0" applyNumberFormat="1" applyFont="1">
      <alignment vertical="center"/>
    </xf>
    <xf numFmtId="0" fontId="6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13" fillId="0" borderId="0" xfId="0" applyFont="1">
      <alignment vertical="center"/>
    </xf>
    <xf numFmtId="0" fontId="14" fillId="8" borderId="0" xfId="0" applyFont="1" applyFill="1">
      <alignment vertical="center"/>
    </xf>
    <xf numFmtId="0" fontId="15" fillId="0" borderId="0" xfId="0" applyFont="1" applyAlignment="1">
      <alignment horizontal="left" vertical="center"/>
    </xf>
    <xf numFmtId="0" fontId="12" fillId="3" borderId="4" xfId="0" applyFont="1" applyFill="1" applyBorder="1">
      <alignment vertical="center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vertical="top" wrapText="1"/>
    </xf>
    <xf numFmtId="10" fontId="17" fillId="9" borderId="1" xfId="1" applyNumberFormat="1" applyFont="1" applyFill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176" fontId="6" fillId="0" borderId="5" xfId="0" applyNumberFormat="1" applyFont="1" applyBorder="1">
      <alignment vertical="center"/>
    </xf>
    <xf numFmtId="176" fontId="6" fillId="0" borderId="6" xfId="0" applyNumberFormat="1" applyFont="1" applyBorder="1">
      <alignment vertical="center"/>
    </xf>
    <xf numFmtId="176" fontId="6" fillId="0" borderId="7" xfId="0" applyNumberFormat="1" applyFont="1" applyBorder="1">
      <alignment vertical="center"/>
    </xf>
    <xf numFmtId="176" fontId="6" fillId="0" borderId="8" xfId="0" applyNumberFormat="1" applyFont="1" applyBorder="1">
      <alignment vertical="center"/>
    </xf>
    <xf numFmtId="1" fontId="6" fillId="0" borderId="0" xfId="0" applyNumberFormat="1" applyFont="1">
      <alignment vertical="center"/>
    </xf>
    <xf numFmtId="176" fontId="6" fillId="0" borderId="9" xfId="0" applyNumberFormat="1" applyFont="1" applyBorder="1">
      <alignment vertical="center"/>
    </xf>
    <xf numFmtId="176" fontId="6" fillId="0" borderId="0" xfId="0" applyNumberFormat="1" applyFont="1">
      <alignment vertical="center"/>
    </xf>
    <xf numFmtId="176" fontId="6" fillId="0" borderId="10" xfId="0" applyNumberFormat="1" applyFont="1" applyBorder="1">
      <alignment vertical="center"/>
    </xf>
    <xf numFmtId="176" fontId="6" fillId="0" borderId="11" xfId="0" applyNumberFormat="1" applyFont="1" applyBorder="1">
      <alignment vertical="center"/>
    </xf>
    <xf numFmtId="176" fontId="6" fillId="0" borderId="12" xfId="0" applyNumberFormat="1" applyFont="1" applyBorder="1">
      <alignment vertical="center"/>
    </xf>
    <xf numFmtId="176" fontId="6" fillId="0" borderId="13" xfId="0" applyNumberFormat="1" applyFont="1" applyBorder="1">
      <alignment vertical="center"/>
    </xf>
    <xf numFmtId="176" fontId="6" fillId="0" borderId="14" xfId="0" applyNumberFormat="1" applyFont="1" applyBorder="1">
      <alignment vertical="center"/>
    </xf>
    <xf numFmtId="176" fontId="6" fillId="0" borderId="15" xfId="0" applyNumberFormat="1" applyFont="1" applyBorder="1">
      <alignment vertical="center"/>
    </xf>
    <xf numFmtId="0" fontId="18" fillId="0" borderId="0" xfId="0" applyFont="1" applyAlignment="1">
      <alignment vertical="center" wrapText="1"/>
    </xf>
  </cellXfs>
  <cellStyles count="2">
    <cellStyle name="常规" xfId="0" builtinId="0"/>
    <cellStyle name="检查单元格" xfId="1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6e4027b99a52c32/CBAM-Steel&#25991;&#31456;/0-iScience/&#19968;&#36718;&#21453;&#20462;/0-&#19978;&#20256;&#25968;&#25454;CBAM&#24773;&#26223;&#35774;&#35745;-live.xlsm" TargetMode="External"/><Relationship Id="rId1" Type="http://schemas.openxmlformats.org/officeDocument/2006/relationships/externalLinkPath" Target="https://d.docs.live.net/a6e4027b99a52c32/CBAM-Steel&#25991;&#31456;/0-iScience/&#19968;&#36718;&#21453;&#20462;/0-&#19978;&#20256;&#25968;&#25454;CBAM&#24773;&#26223;&#35774;&#35745;-liv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Xi%20Xi/iGDP%20Dropbox/Xi%20Xi/IFS%20Programs/&#23433;&#24509;&#30465;/EPS&#23433;&#24509;/InputData/plcy-schd/FoPITY/Frac%20of%20Pol%20Impl%20This%20Yr%20-%201%20-%20Defaul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情景"/>
      <sheetName val="Sheet2"/>
      <sheetName val="Sheet3"/>
      <sheetName val="DIY-Scenario setting(CBAM模块)"/>
      <sheetName val="DIY-Scenario setting(钢铁模块)"/>
      <sheetName val="DIY-Quantitative Results"/>
      <sheetName val="DIY结果对比"/>
      <sheetName val="Figure6"/>
      <sheetName val="1-Quantitative Results-All mode"/>
      <sheetName val="2-Quantitative Results-CBAM"/>
      <sheetName val="3-Quantitative Results-中国钢铁行业"/>
      <sheetName val="4-参数汇总"/>
      <sheetName val="5-情景组合"/>
      <sheetName val="5-情景组合(图示)"/>
      <sheetName val="情景对比"/>
      <sheetName val="情景对比_碳排放量及减排成本"/>
      <sheetName val="情景结果绘图"/>
      <sheetName val="情景结果绘图_碳排放量及减排成本"/>
      <sheetName val="对照表"/>
      <sheetName val="5.1 Inflation and Exchange Rate"/>
      <sheetName val="5.2.1 CBAM-Carbon market"/>
      <sheetName val="5.2.2 CBAM - Mechanism Rules"/>
      <sheetName val="5.3.1 钢铁行业参数数据库"/>
      <sheetName val="5.3.1 绘图"/>
      <sheetName val="5.3.2 Emissions and intensity"/>
      <sheetName val="5.2 附表1"/>
      <sheetName val="5.2 附表2 中国碳市场免费配额基准值 "/>
      <sheetName val="5.3 附表1-能源结构"/>
      <sheetName val="5.3 附表2-钢铁行业基础数据"/>
      <sheetName val="Sheet1"/>
      <sheetName val="CBAM免费配额基准值-废"/>
      <sheetName val="5.2 附表2000-2050EU27_Import_CHZ"/>
      <sheetName val="raw2000-2022EU27_Import_CHZ"/>
      <sheetName val="保留-ETS碳价"/>
      <sheetName val="吨粗钢减排成本 -BAU (3)"/>
      <sheetName val="单项成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B2" t="str">
            <v>Sintered ore</v>
          </cell>
        </row>
        <row r="3">
          <cell r="B3" t="str">
            <v>Alloys</v>
          </cell>
        </row>
        <row r="4">
          <cell r="B4" t="str">
            <v>Pig iron (BF)</v>
          </cell>
        </row>
        <row r="5">
          <cell r="B5" t="str">
            <v>Pig iron (smelting reduction)</v>
          </cell>
        </row>
        <row r="6">
          <cell r="B6" t="str">
            <v>DRI</v>
          </cell>
        </row>
        <row r="7">
          <cell r="B7" t="str">
            <v>Crude steel (BOF route)</v>
          </cell>
        </row>
        <row r="8">
          <cell r="B8" t="str">
            <v>Crude steel (EAF route)</v>
          </cell>
        </row>
        <row r="9">
          <cell r="B9" t="str">
            <v>Steel (BF-BOF route)</v>
          </cell>
        </row>
        <row r="10">
          <cell r="B10" t="str">
            <v>Steel (DRI-EAF route)</v>
          </cell>
        </row>
        <row r="11">
          <cell r="B11" t="str">
            <v>Steel (Scrap-EAF route)</v>
          </cell>
        </row>
      </sheetData>
      <sheetData sheetId="19"/>
      <sheetData sheetId="20"/>
      <sheetData sheetId="21"/>
      <sheetData sheetId="22">
        <row r="141">
          <cell r="F141">
            <v>0</v>
          </cell>
        </row>
        <row r="142">
          <cell r="F142">
            <v>95829.03</v>
          </cell>
        </row>
        <row r="143">
          <cell r="F143">
            <v>0.10647669999999999</v>
          </cell>
        </row>
        <row r="144">
          <cell r="F144">
            <v>110</v>
          </cell>
        </row>
        <row r="146">
          <cell r="F146">
            <v>106476.7</v>
          </cell>
        </row>
      </sheetData>
      <sheetData sheetId="23"/>
      <sheetData sheetId="24">
        <row r="315">
          <cell r="E315" t="str">
            <v>BAUSintered ore</v>
          </cell>
          <cell r="F315">
            <v>0.191</v>
          </cell>
          <cell r="G315">
            <v>0.19061800000000001</v>
          </cell>
          <cell r="H315">
            <v>0.190236764</v>
          </cell>
          <cell r="I315">
            <v>0.18985629047200001</v>
          </cell>
          <cell r="J315">
            <v>0.18947657789105601</v>
          </cell>
          <cell r="K315">
            <v>0.18909762473527389</v>
          </cell>
          <cell r="L315">
            <v>0.12988</v>
          </cell>
          <cell r="M315">
            <v>0.12988</v>
          </cell>
          <cell r="N315">
            <v>0.12988</v>
          </cell>
          <cell r="O315">
            <v>0.12988</v>
          </cell>
          <cell r="P315">
            <v>0.12988</v>
          </cell>
          <cell r="Q315">
            <v>0.11459999999999999</v>
          </cell>
          <cell r="R315">
            <v>0.11459999999999999</v>
          </cell>
          <cell r="S315">
            <v>0.11459999999999999</v>
          </cell>
          <cell r="T315">
            <v>0.11459999999999999</v>
          </cell>
          <cell r="U315">
            <v>0.10260000000000001</v>
          </cell>
          <cell r="V315">
            <v>0.10260000000000001</v>
          </cell>
          <cell r="W315">
            <v>0.10260000000000001</v>
          </cell>
          <cell r="X315">
            <v>0.10260000000000001</v>
          </cell>
          <cell r="Y315">
            <v>0.10260000000000001</v>
          </cell>
          <cell r="Z315">
            <v>0.10260000000000001</v>
          </cell>
          <cell r="AA315">
            <v>0.10260000000000001</v>
          </cell>
          <cell r="AB315">
            <v>0.10260000000000001</v>
          </cell>
          <cell r="AC315">
            <v>0.10260000000000001</v>
          </cell>
          <cell r="AD315">
            <v>0.10260000000000001</v>
          </cell>
          <cell r="AE315">
            <v>0.10260000000000001</v>
          </cell>
          <cell r="AF315">
            <v>0.10260000000000001</v>
          </cell>
          <cell r="AG315">
            <v>0.10260000000000001</v>
          </cell>
          <cell r="AH315">
            <v>0.10260000000000001</v>
          </cell>
          <cell r="AI315">
            <v>0.10260000000000001</v>
          </cell>
          <cell r="AJ315">
            <v>0.10260000000000001</v>
          </cell>
        </row>
        <row r="316">
          <cell r="E316" t="str">
            <v>BAUAlloys</v>
          </cell>
          <cell r="F316">
            <v>0.30560000000000004</v>
          </cell>
          <cell r="G316">
            <v>0.30498880000000006</v>
          </cell>
          <cell r="H316">
            <v>0.30437882240000003</v>
          </cell>
          <cell r="I316">
            <v>0.30377006475520002</v>
          </cell>
          <cell r="J316">
            <v>0.30316252462568966</v>
          </cell>
          <cell r="K316">
            <v>0.30255619957643826</v>
          </cell>
          <cell r="L316">
            <v>0.20780799999999999</v>
          </cell>
          <cell r="M316">
            <v>0.20780799999999999</v>
          </cell>
          <cell r="N316">
            <v>0.20780799999999999</v>
          </cell>
          <cell r="O316">
            <v>0.20780799999999999</v>
          </cell>
          <cell r="P316">
            <v>0.20780799999999999</v>
          </cell>
          <cell r="Q316">
            <v>0.18336</v>
          </cell>
          <cell r="R316">
            <v>0.18336</v>
          </cell>
          <cell r="S316">
            <v>0.18336</v>
          </cell>
          <cell r="T316">
            <v>0.18336</v>
          </cell>
          <cell r="U316">
            <v>0.12312000000000001</v>
          </cell>
          <cell r="V316">
            <v>0.12312000000000001</v>
          </cell>
          <cell r="W316">
            <v>0.12312000000000001</v>
          </cell>
          <cell r="X316">
            <v>0.12312000000000001</v>
          </cell>
          <cell r="Y316">
            <v>0.12312000000000001</v>
          </cell>
          <cell r="Z316">
            <v>0.12312000000000001</v>
          </cell>
          <cell r="AA316">
            <v>0.12312000000000001</v>
          </cell>
          <cell r="AB316">
            <v>0.12312000000000001</v>
          </cell>
          <cell r="AC316">
            <v>0.12312000000000001</v>
          </cell>
          <cell r="AD316">
            <v>0.12312000000000001</v>
          </cell>
          <cell r="AE316">
            <v>0.12312000000000001</v>
          </cell>
          <cell r="AF316">
            <v>0.12312000000000001</v>
          </cell>
          <cell r="AG316">
            <v>0.12312000000000001</v>
          </cell>
          <cell r="AH316">
            <v>0.12312000000000001</v>
          </cell>
          <cell r="AI316">
            <v>0.12312000000000001</v>
          </cell>
          <cell r="AJ316">
            <v>0.12312000000000001</v>
          </cell>
        </row>
        <row r="317">
          <cell r="E317" t="str">
            <v>BAUPig iron (BF)</v>
          </cell>
          <cell r="F317">
            <v>1.3686</v>
          </cell>
          <cell r="G317">
            <v>1.3658627999999999</v>
          </cell>
          <cell r="H317">
            <v>1.3631310744</v>
          </cell>
          <cell r="I317">
            <v>1.3604048122512</v>
          </cell>
          <cell r="J317">
            <v>1.3576840026266976</v>
          </cell>
          <cell r="K317">
            <v>1.3549686346214442</v>
          </cell>
          <cell r="L317">
            <v>1.3138560000000001</v>
          </cell>
          <cell r="M317">
            <v>1.3138560000000001</v>
          </cell>
          <cell r="N317">
            <v>1.3138560000000001</v>
          </cell>
          <cell r="O317">
            <v>1.3138560000000001</v>
          </cell>
          <cell r="P317">
            <v>1.3138560000000001</v>
          </cell>
          <cell r="Q317">
            <v>1.30017</v>
          </cell>
          <cell r="R317">
            <v>1.30017</v>
          </cell>
          <cell r="S317">
            <v>1.30017</v>
          </cell>
          <cell r="T317">
            <v>1.30017</v>
          </cell>
          <cell r="U317">
            <v>0.20930400000000002</v>
          </cell>
          <cell r="V317">
            <v>0.20930400000000002</v>
          </cell>
          <cell r="W317">
            <v>0.20930400000000002</v>
          </cell>
          <cell r="X317">
            <v>0.20930400000000002</v>
          </cell>
          <cell r="Y317">
            <v>0.20930400000000002</v>
          </cell>
          <cell r="Z317">
            <v>0.20930400000000002</v>
          </cell>
          <cell r="AA317">
            <v>0.20930400000000002</v>
          </cell>
          <cell r="AB317">
            <v>0.20930400000000002</v>
          </cell>
          <cell r="AC317">
            <v>0.20930400000000002</v>
          </cell>
          <cell r="AD317">
            <v>0.20930400000000002</v>
          </cell>
          <cell r="AE317">
            <v>0.20930400000000002</v>
          </cell>
          <cell r="AF317">
            <v>0.20930400000000002</v>
          </cell>
          <cell r="AG317">
            <v>0.20930400000000002</v>
          </cell>
          <cell r="AH317">
            <v>0.20930400000000002</v>
          </cell>
          <cell r="AI317">
            <v>0.20930400000000002</v>
          </cell>
          <cell r="AJ317">
            <v>0.20930400000000002</v>
          </cell>
        </row>
        <row r="318">
          <cell r="E318" t="str">
            <v>BAUPig iron (smelting reduction)</v>
          </cell>
          <cell r="F318">
            <v>0.30560000000000004</v>
          </cell>
          <cell r="G318">
            <v>0.30498880000000006</v>
          </cell>
          <cell r="H318">
            <v>0.30437882240000003</v>
          </cell>
          <cell r="I318">
            <v>0.30377006475520002</v>
          </cell>
          <cell r="J318">
            <v>0.30316252462568966</v>
          </cell>
          <cell r="K318">
            <v>0.30255619957643826</v>
          </cell>
          <cell r="L318">
            <v>0.20780799999999999</v>
          </cell>
          <cell r="M318">
            <v>0.20780799999999999</v>
          </cell>
          <cell r="N318">
            <v>0.20780799999999999</v>
          </cell>
          <cell r="O318">
            <v>0.20780799999999999</v>
          </cell>
          <cell r="P318">
            <v>0.20780799999999999</v>
          </cell>
          <cell r="Q318">
            <v>0.18336</v>
          </cell>
          <cell r="R318">
            <v>0.18336</v>
          </cell>
          <cell r="S318">
            <v>0.18336</v>
          </cell>
          <cell r="T318">
            <v>0.18336</v>
          </cell>
          <cell r="U318">
            <v>0.17236799999999999</v>
          </cell>
          <cell r="V318">
            <v>0.17236799999999999</v>
          </cell>
          <cell r="W318">
            <v>0.17236799999999999</v>
          </cell>
          <cell r="X318">
            <v>0.17236799999999999</v>
          </cell>
          <cell r="Y318">
            <v>0.17236799999999999</v>
          </cell>
          <cell r="Z318">
            <v>0.17236799999999999</v>
          </cell>
          <cell r="AA318">
            <v>0.17236799999999999</v>
          </cell>
          <cell r="AB318">
            <v>0.17236799999999999</v>
          </cell>
          <cell r="AC318">
            <v>0.17236799999999999</v>
          </cell>
          <cell r="AD318">
            <v>0.17236799999999999</v>
          </cell>
          <cell r="AE318">
            <v>0.17236799999999999</v>
          </cell>
          <cell r="AF318">
            <v>0.17236799999999999</v>
          </cell>
          <cell r="AG318">
            <v>0.17236799999999999</v>
          </cell>
          <cell r="AH318">
            <v>0.17236799999999999</v>
          </cell>
          <cell r="AI318">
            <v>0.17236799999999999</v>
          </cell>
          <cell r="AJ318">
            <v>0.17236799999999999</v>
          </cell>
        </row>
        <row r="319">
          <cell r="E319" t="str">
            <v>BAUDRI</v>
          </cell>
          <cell r="F319">
            <v>0.30560000000000004</v>
          </cell>
          <cell r="G319">
            <v>0.30498880000000006</v>
          </cell>
          <cell r="H319">
            <v>0.30437882240000003</v>
          </cell>
          <cell r="I319">
            <v>0.30377006475520002</v>
          </cell>
          <cell r="J319">
            <v>0.30316252462568966</v>
          </cell>
          <cell r="K319">
            <v>0.30255619957643826</v>
          </cell>
          <cell r="L319">
            <v>0.20780799999999999</v>
          </cell>
          <cell r="M319">
            <v>0.20780799999999999</v>
          </cell>
          <cell r="N319">
            <v>0.20780799999999999</v>
          </cell>
          <cell r="O319">
            <v>0.20780799999999999</v>
          </cell>
          <cell r="P319">
            <v>0.20780799999999999</v>
          </cell>
          <cell r="Q319">
            <v>0.18336</v>
          </cell>
          <cell r="R319">
            <v>0.18336</v>
          </cell>
          <cell r="S319">
            <v>0.18336</v>
          </cell>
          <cell r="T319">
            <v>0.18336</v>
          </cell>
          <cell r="U319">
            <v>0.25116480000000002</v>
          </cell>
          <cell r="V319">
            <v>0.25116480000000002</v>
          </cell>
          <cell r="W319">
            <v>0.25116480000000002</v>
          </cell>
          <cell r="X319">
            <v>0.25116480000000002</v>
          </cell>
          <cell r="Y319">
            <v>0.25116480000000002</v>
          </cell>
          <cell r="Z319">
            <v>0.25116480000000002</v>
          </cell>
          <cell r="AA319">
            <v>0.25116480000000002</v>
          </cell>
          <cell r="AB319">
            <v>0.25116480000000002</v>
          </cell>
          <cell r="AC319">
            <v>0.25116480000000002</v>
          </cell>
          <cell r="AD319">
            <v>0.25116480000000002</v>
          </cell>
          <cell r="AE319">
            <v>0.25116480000000002</v>
          </cell>
          <cell r="AF319">
            <v>0.25116480000000002</v>
          </cell>
          <cell r="AG319">
            <v>0.25116480000000002</v>
          </cell>
          <cell r="AH319">
            <v>0.25116480000000002</v>
          </cell>
          <cell r="AI319">
            <v>0.25116480000000002</v>
          </cell>
          <cell r="AJ319">
            <v>0.25116480000000002</v>
          </cell>
        </row>
        <row r="320">
          <cell r="E320" t="str">
            <v>BAUCrude steel (BOF route)</v>
          </cell>
          <cell r="F320">
            <v>1.6742000000000001</v>
          </cell>
          <cell r="G320">
            <v>1.6708516</v>
          </cell>
          <cell r="H320">
            <v>1.6675098967999999</v>
          </cell>
          <cell r="I320">
            <v>1.6641748770064</v>
          </cell>
          <cell r="J320">
            <v>1.6608465272523874</v>
          </cell>
          <cell r="K320">
            <v>1.6575248341978825</v>
          </cell>
          <cell r="L320">
            <v>1.5216640000000001</v>
          </cell>
          <cell r="M320">
            <v>1.5216640000000001</v>
          </cell>
          <cell r="N320">
            <v>1.5216640000000001</v>
          </cell>
          <cell r="O320">
            <v>1.5216640000000001</v>
          </cell>
          <cell r="P320">
            <v>1.5216640000000001</v>
          </cell>
          <cell r="Q320">
            <v>1.48353</v>
          </cell>
          <cell r="R320">
            <v>1.48353</v>
          </cell>
          <cell r="S320">
            <v>1.48353</v>
          </cell>
          <cell r="T320">
            <v>1.48353</v>
          </cell>
          <cell r="U320">
            <v>1.286832</v>
          </cell>
          <cell r="V320">
            <v>1.286832</v>
          </cell>
          <cell r="W320">
            <v>1.286832</v>
          </cell>
          <cell r="X320">
            <v>1.286832</v>
          </cell>
          <cell r="Y320">
            <v>1.286832</v>
          </cell>
          <cell r="Z320">
            <v>1.286832</v>
          </cell>
          <cell r="AA320">
            <v>1.286832</v>
          </cell>
          <cell r="AB320">
            <v>1.286832</v>
          </cell>
          <cell r="AC320">
            <v>1.286832</v>
          </cell>
          <cell r="AD320">
            <v>1.286832</v>
          </cell>
          <cell r="AE320">
            <v>1.286832</v>
          </cell>
          <cell r="AF320">
            <v>1.286832</v>
          </cell>
          <cell r="AG320">
            <v>1.286832</v>
          </cell>
          <cell r="AH320">
            <v>1.286832</v>
          </cell>
          <cell r="AI320">
            <v>1.286832</v>
          </cell>
          <cell r="AJ320">
            <v>1.286832</v>
          </cell>
        </row>
        <row r="321">
          <cell r="E321" t="str">
            <v>BAUCrude steel (EAF route)</v>
          </cell>
          <cell r="F321">
            <v>0.37140000000000001</v>
          </cell>
          <cell r="G321">
            <v>0.37065720000000002</v>
          </cell>
          <cell r="H321">
            <v>0.36991588559999999</v>
          </cell>
          <cell r="I321">
            <v>0.36917605382879998</v>
          </cell>
          <cell r="J321">
            <v>0.36843770172114237</v>
          </cell>
          <cell r="K321">
            <v>0.36770082631770007</v>
          </cell>
          <cell r="L321">
            <v>0.252552</v>
          </cell>
          <cell r="M321">
            <v>0.252552</v>
          </cell>
          <cell r="N321">
            <v>0.252552</v>
          </cell>
          <cell r="O321">
            <v>0.252552</v>
          </cell>
          <cell r="P321">
            <v>0.252552</v>
          </cell>
          <cell r="Q321">
            <v>0.22283999999999998</v>
          </cell>
          <cell r="R321">
            <v>0.22283999999999998</v>
          </cell>
          <cell r="S321">
            <v>0.22283999999999998</v>
          </cell>
          <cell r="T321">
            <v>0.22283999999999998</v>
          </cell>
          <cell r="U321">
            <v>0.38100000000000001</v>
          </cell>
          <cell r="V321">
            <v>0.38100000000000001</v>
          </cell>
          <cell r="W321">
            <v>0.38100000000000001</v>
          </cell>
          <cell r="X321">
            <v>0.38100000000000001</v>
          </cell>
          <cell r="Y321">
            <v>0.38100000000000001</v>
          </cell>
          <cell r="Z321">
            <v>0.38100000000000001</v>
          </cell>
          <cell r="AA321">
            <v>0.38100000000000001</v>
          </cell>
          <cell r="AB321">
            <v>0.38100000000000001</v>
          </cell>
          <cell r="AC321">
            <v>0.38100000000000001</v>
          </cell>
          <cell r="AD321">
            <v>0.38100000000000001</v>
          </cell>
          <cell r="AE321">
            <v>0.38100000000000001</v>
          </cell>
          <cell r="AF321">
            <v>0.38100000000000001</v>
          </cell>
          <cell r="AG321">
            <v>0.38100000000000001</v>
          </cell>
          <cell r="AH321">
            <v>0.38100000000000001</v>
          </cell>
          <cell r="AI321">
            <v>0.38100000000000001</v>
          </cell>
          <cell r="AJ321">
            <v>0.38100000000000001</v>
          </cell>
        </row>
        <row r="322">
          <cell r="E322" t="str">
            <v>BAUSteel (BF-BOF route)</v>
          </cell>
          <cell r="F322">
            <v>1.8633846000000001</v>
          </cell>
          <cell r="G322">
            <v>1.8596578308</v>
          </cell>
          <cell r="H322">
            <v>1.8559385151384</v>
          </cell>
          <cell r="I322">
            <v>1.8522266381081232</v>
          </cell>
          <cell r="J322">
            <v>1.8485221848319071</v>
          </cell>
          <cell r="K322">
            <v>1.8448251404622433</v>
          </cell>
          <cell r="L322">
            <v>1.6936120320000001</v>
          </cell>
          <cell r="M322">
            <v>1.6936120320000001</v>
          </cell>
          <cell r="N322">
            <v>1.6936120320000001</v>
          </cell>
          <cell r="O322">
            <v>1.6936120320000001</v>
          </cell>
          <cell r="P322">
            <v>1.6936120320000001</v>
          </cell>
          <cell r="Q322">
            <v>1.6511688900000001</v>
          </cell>
          <cell r="R322">
            <v>1.6511688900000001</v>
          </cell>
          <cell r="S322">
            <v>1.6511688900000001</v>
          </cell>
          <cell r="T322">
            <v>1.6511688900000001</v>
          </cell>
          <cell r="U322">
            <v>1.1461176960000001</v>
          </cell>
          <cell r="V322">
            <v>1.1461176960000001</v>
          </cell>
          <cell r="W322">
            <v>1.1461176960000001</v>
          </cell>
          <cell r="X322">
            <v>1.1461176960000001</v>
          </cell>
          <cell r="Y322">
            <v>1.1461176960000001</v>
          </cell>
          <cell r="Z322">
            <v>1.1461176960000001</v>
          </cell>
          <cell r="AA322">
            <v>1.1461176960000001</v>
          </cell>
          <cell r="AB322">
            <v>1.1461176960000001</v>
          </cell>
          <cell r="AC322">
            <v>1.1461176960000001</v>
          </cell>
          <cell r="AD322">
            <v>1.1461176960000001</v>
          </cell>
          <cell r="AE322">
            <v>1.1461176960000001</v>
          </cell>
          <cell r="AF322">
            <v>1.1461176960000001</v>
          </cell>
          <cell r="AG322">
            <v>1.1461176960000001</v>
          </cell>
          <cell r="AH322">
            <v>1.1461176960000001</v>
          </cell>
          <cell r="AI322">
            <v>1.1461176960000001</v>
          </cell>
          <cell r="AJ322">
            <v>1.1461176960000001</v>
          </cell>
        </row>
        <row r="323">
          <cell r="E323" t="str">
            <v>BAUSteel (DRI-EAF route)</v>
          </cell>
          <cell r="F323">
            <v>0.67700000000000005</v>
          </cell>
          <cell r="G323">
            <v>0.62284000000000006</v>
          </cell>
          <cell r="H323">
            <v>0.62284000000000006</v>
          </cell>
          <cell r="I323">
            <v>0.62284000000000006</v>
          </cell>
          <cell r="J323">
            <v>0.62284000000000006</v>
          </cell>
          <cell r="K323">
            <v>0.62284000000000006</v>
          </cell>
          <cell r="L323">
            <v>0.56868000000000007</v>
          </cell>
          <cell r="M323">
            <v>0.56868000000000007</v>
          </cell>
          <cell r="N323">
            <v>0.56868000000000007</v>
          </cell>
          <cell r="O323">
            <v>0.56868000000000007</v>
          </cell>
          <cell r="P323">
            <v>0.56868000000000007</v>
          </cell>
          <cell r="Q323">
            <v>0.51452000000000009</v>
          </cell>
          <cell r="R323">
            <v>0.51452000000000009</v>
          </cell>
          <cell r="S323">
            <v>0.51452000000000009</v>
          </cell>
          <cell r="T323">
            <v>0.51452000000000009</v>
          </cell>
          <cell r="U323">
            <v>0.37116576000000001</v>
          </cell>
          <cell r="V323">
            <v>0.37116576000000001</v>
          </cell>
          <cell r="W323">
            <v>0.37116576000000001</v>
          </cell>
          <cell r="X323">
            <v>0.37116576000000001</v>
          </cell>
          <cell r="Y323">
            <v>0.37116576000000001</v>
          </cell>
          <cell r="Z323">
            <v>0.37116576000000001</v>
          </cell>
          <cell r="AA323">
            <v>0.37116576000000001</v>
          </cell>
          <cell r="AB323">
            <v>0.37116576000000001</v>
          </cell>
          <cell r="AC323">
            <v>0.37116576000000001</v>
          </cell>
          <cell r="AD323">
            <v>0.37116576000000001</v>
          </cell>
          <cell r="AE323">
            <v>0.37116576000000001</v>
          </cell>
          <cell r="AF323">
            <v>0.37116576000000001</v>
          </cell>
          <cell r="AG323">
            <v>0.37116576000000001</v>
          </cell>
          <cell r="AH323">
            <v>0.37116576000000001</v>
          </cell>
          <cell r="AI323">
            <v>0.37116576000000001</v>
          </cell>
          <cell r="AJ323">
            <v>0.37116576000000001</v>
          </cell>
        </row>
        <row r="324">
          <cell r="E324" t="str">
            <v>BAUSteel (Scrap-EAF route)</v>
          </cell>
          <cell r="F324">
            <v>0.37140000000000001</v>
          </cell>
          <cell r="G324">
            <v>0.37065720000000002</v>
          </cell>
          <cell r="H324">
            <v>0.36991588559999999</v>
          </cell>
          <cell r="I324">
            <v>0.36917605382879998</v>
          </cell>
          <cell r="J324">
            <v>0.36843770172114237</v>
          </cell>
          <cell r="K324">
            <v>0.36770082631770007</v>
          </cell>
          <cell r="L324">
            <v>0.252552</v>
          </cell>
          <cell r="M324">
            <v>0.252552</v>
          </cell>
          <cell r="N324">
            <v>0.252552</v>
          </cell>
          <cell r="O324">
            <v>0.252552</v>
          </cell>
          <cell r="P324">
            <v>0.252552</v>
          </cell>
          <cell r="Q324">
            <v>0.22283999999999998</v>
          </cell>
          <cell r="R324">
            <v>0.22283999999999998</v>
          </cell>
          <cell r="S324">
            <v>0.22283999999999998</v>
          </cell>
          <cell r="T324">
            <v>0.22283999999999998</v>
          </cell>
          <cell r="U324">
            <v>0.19500000000000001</v>
          </cell>
          <cell r="V324">
            <v>0.19500000000000001</v>
          </cell>
          <cell r="W324">
            <v>0.19500000000000001</v>
          </cell>
          <cell r="X324">
            <v>0.19500000000000001</v>
          </cell>
          <cell r="Y324">
            <v>0.19500000000000001</v>
          </cell>
          <cell r="Z324">
            <v>0.19500000000000001</v>
          </cell>
          <cell r="AA324">
            <v>0.19500000000000001</v>
          </cell>
          <cell r="AB324">
            <v>0.19500000000000001</v>
          </cell>
          <cell r="AC324">
            <v>0.19500000000000001</v>
          </cell>
          <cell r="AD324">
            <v>0.19500000000000001</v>
          </cell>
          <cell r="AE324">
            <v>0.19500000000000001</v>
          </cell>
          <cell r="AF324">
            <v>0.19500000000000001</v>
          </cell>
          <cell r="AG324">
            <v>0.19500000000000001</v>
          </cell>
          <cell r="AH324">
            <v>0.19500000000000001</v>
          </cell>
          <cell r="AI324">
            <v>0.19500000000000001</v>
          </cell>
          <cell r="AJ324">
            <v>0.19500000000000001</v>
          </cell>
        </row>
        <row r="326">
          <cell r="E326" t="str">
            <v>DCSSintered ore</v>
          </cell>
          <cell r="F326">
            <v>0.191</v>
          </cell>
          <cell r="G326">
            <v>0.19023600000000002</v>
          </cell>
          <cell r="H326">
            <v>0.189475056</v>
          </cell>
          <cell r="I326">
            <v>0.18871715577600001</v>
          </cell>
          <cell r="J326">
            <v>0.18796228715289601</v>
          </cell>
          <cell r="K326">
            <v>0.18721043800428441</v>
          </cell>
          <cell r="L326">
            <v>0.11460000000000001</v>
          </cell>
          <cell r="M326">
            <v>0.11460000000000001</v>
          </cell>
          <cell r="N326">
            <v>0.11460000000000001</v>
          </cell>
          <cell r="O326">
            <v>0.11460000000000001</v>
          </cell>
          <cell r="P326">
            <v>0.11460000000000001</v>
          </cell>
          <cell r="Q326">
            <v>9.5500000000000002E-2</v>
          </cell>
          <cell r="R326">
            <v>9.5500000000000002E-2</v>
          </cell>
          <cell r="S326">
            <v>9.5500000000000002E-2</v>
          </cell>
          <cell r="T326">
            <v>9.5500000000000002E-2</v>
          </cell>
          <cell r="U326">
            <v>8.5500000000000007E-2</v>
          </cell>
          <cell r="V326">
            <v>8.5500000000000007E-2</v>
          </cell>
          <cell r="W326">
            <v>8.5500000000000007E-2</v>
          </cell>
          <cell r="X326">
            <v>8.5500000000000007E-2</v>
          </cell>
          <cell r="Y326">
            <v>8.5500000000000007E-2</v>
          </cell>
          <cell r="Z326">
            <v>8.5500000000000007E-2</v>
          </cell>
          <cell r="AA326">
            <v>8.5500000000000007E-2</v>
          </cell>
          <cell r="AB326">
            <v>8.5500000000000007E-2</v>
          </cell>
          <cell r="AC326">
            <v>8.5500000000000007E-2</v>
          </cell>
          <cell r="AD326">
            <v>8.5500000000000007E-2</v>
          </cell>
          <cell r="AE326">
            <v>8.5500000000000007E-2</v>
          </cell>
          <cell r="AF326">
            <v>8.5500000000000007E-2</v>
          </cell>
          <cell r="AG326">
            <v>8.5500000000000007E-2</v>
          </cell>
          <cell r="AH326">
            <v>8.5500000000000007E-2</v>
          </cell>
          <cell r="AI326">
            <v>8.5500000000000007E-2</v>
          </cell>
          <cell r="AJ326">
            <v>8.5500000000000007E-2</v>
          </cell>
        </row>
        <row r="327">
          <cell r="E327" t="str">
            <v>DCSAlloys</v>
          </cell>
          <cell r="F327">
            <v>0.30560000000000004</v>
          </cell>
          <cell r="G327">
            <v>0.30437760000000003</v>
          </cell>
          <cell r="H327">
            <v>0.30316008960000002</v>
          </cell>
          <cell r="I327">
            <v>0.30194744924160005</v>
          </cell>
          <cell r="J327">
            <v>0.30073965944463366</v>
          </cell>
          <cell r="K327">
            <v>0.29953670080685507</v>
          </cell>
          <cell r="L327">
            <v>0.18336000000000002</v>
          </cell>
          <cell r="M327">
            <v>0.18336000000000002</v>
          </cell>
          <cell r="N327">
            <v>0.18336000000000002</v>
          </cell>
          <cell r="O327">
            <v>0.18336000000000002</v>
          </cell>
          <cell r="P327">
            <v>0.18336000000000002</v>
          </cell>
          <cell r="Q327">
            <v>0.15280000000000002</v>
          </cell>
          <cell r="R327">
            <v>0.15280000000000002</v>
          </cell>
          <cell r="S327">
            <v>0.15280000000000002</v>
          </cell>
          <cell r="T327">
            <v>0.15280000000000002</v>
          </cell>
          <cell r="U327">
            <v>0.10260000000000001</v>
          </cell>
          <cell r="V327">
            <v>0.10260000000000001</v>
          </cell>
          <cell r="W327">
            <v>0.10260000000000001</v>
          </cell>
          <cell r="X327">
            <v>0.10260000000000001</v>
          </cell>
          <cell r="Y327">
            <v>0.10260000000000001</v>
          </cell>
          <cell r="Z327">
            <v>0.10260000000000001</v>
          </cell>
          <cell r="AA327">
            <v>0.10260000000000001</v>
          </cell>
          <cell r="AB327">
            <v>0.10260000000000001</v>
          </cell>
          <cell r="AC327">
            <v>0.10260000000000001</v>
          </cell>
          <cell r="AD327">
            <v>0.10260000000000001</v>
          </cell>
          <cell r="AE327">
            <v>0.10260000000000001</v>
          </cell>
          <cell r="AF327">
            <v>0.10260000000000001</v>
          </cell>
          <cell r="AG327">
            <v>0.10260000000000001</v>
          </cell>
          <cell r="AH327">
            <v>0.10260000000000001</v>
          </cell>
          <cell r="AI327">
            <v>0.10260000000000001</v>
          </cell>
          <cell r="AJ327">
            <v>0.10260000000000001</v>
          </cell>
        </row>
        <row r="328">
          <cell r="E328" t="str">
            <v>DCSPig iron (BF)</v>
          </cell>
          <cell r="F328">
            <v>1.3686</v>
          </cell>
          <cell r="G328">
            <v>1.3658627999999999</v>
          </cell>
          <cell r="H328">
            <v>1.3631310744</v>
          </cell>
          <cell r="I328">
            <v>1.3604048122512</v>
          </cell>
          <cell r="J328">
            <v>1.3576840026266976</v>
          </cell>
          <cell r="K328">
            <v>1.3549686346214442</v>
          </cell>
          <cell r="L328">
            <v>0.82116</v>
          </cell>
          <cell r="M328">
            <v>0.82116</v>
          </cell>
          <cell r="N328">
            <v>0.82116</v>
          </cell>
          <cell r="O328">
            <v>0.82116</v>
          </cell>
          <cell r="P328">
            <v>0.82116</v>
          </cell>
          <cell r="Q328">
            <v>0.68430000000000002</v>
          </cell>
          <cell r="R328">
            <v>0.68430000000000002</v>
          </cell>
          <cell r="S328">
            <v>0.68430000000000002</v>
          </cell>
          <cell r="T328">
            <v>0.68430000000000002</v>
          </cell>
          <cell r="U328">
            <v>0.17442000000000002</v>
          </cell>
          <cell r="V328">
            <v>0.17442000000000002</v>
          </cell>
          <cell r="W328">
            <v>0.17442000000000002</v>
          </cell>
          <cell r="X328">
            <v>0.17442000000000002</v>
          </cell>
          <cell r="Y328">
            <v>0.17442000000000002</v>
          </cell>
          <cell r="Z328">
            <v>0.17442000000000002</v>
          </cell>
          <cell r="AA328">
            <v>0.17442000000000002</v>
          </cell>
          <cell r="AB328">
            <v>0.17442000000000002</v>
          </cell>
          <cell r="AC328">
            <v>0.17442000000000002</v>
          </cell>
          <cell r="AD328">
            <v>0.17442000000000002</v>
          </cell>
          <cell r="AE328">
            <v>0.17442000000000002</v>
          </cell>
          <cell r="AF328">
            <v>0.17442000000000002</v>
          </cell>
          <cell r="AG328">
            <v>0.17442000000000002</v>
          </cell>
          <cell r="AH328">
            <v>0.17442000000000002</v>
          </cell>
          <cell r="AI328">
            <v>0.17442000000000002</v>
          </cell>
          <cell r="AJ328">
            <v>0.17442000000000002</v>
          </cell>
        </row>
        <row r="329">
          <cell r="E329" t="str">
            <v>DCSPig iron (smelting reduction)</v>
          </cell>
          <cell r="F329">
            <v>0.30560000000000004</v>
          </cell>
          <cell r="G329">
            <v>0.30437760000000003</v>
          </cell>
          <cell r="H329">
            <v>0.30316008960000002</v>
          </cell>
          <cell r="I329">
            <v>0.30194744924160005</v>
          </cell>
          <cell r="J329">
            <v>0.30073965944463366</v>
          </cell>
          <cell r="K329">
            <v>0.29953670080685507</v>
          </cell>
          <cell r="L329">
            <v>0.18336000000000002</v>
          </cell>
          <cell r="M329">
            <v>0.18336000000000002</v>
          </cell>
          <cell r="N329">
            <v>0.18336000000000002</v>
          </cell>
          <cell r="O329">
            <v>0.18336000000000002</v>
          </cell>
          <cell r="P329">
            <v>0.18336000000000002</v>
          </cell>
          <cell r="Q329">
            <v>0.15280000000000002</v>
          </cell>
          <cell r="R329">
            <v>0.15280000000000002</v>
          </cell>
          <cell r="S329">
            <v>0.15280000000000002</v>
          </cell>
          <cell r="T329">
            <v>0.15280000000000002</v>
          </cell>
          <cell r="U329">
            <v>0.14364000000000002</v>
          </cell>
          <cell r="V329">
            <v>0.14364000000000002</v>
          </cell>
          <cell r="W329">
            <v>0.14364000000000002</v>
          </cell>
          <cell r="X329">
            <v>0.14364000000000002</v>
          </cell>
          <cell r="Y329">
            <v>0.14364000000000002</v>
          </cell>
          <cell r="Z329">
            <v>0.14364000000000002</v>
          </cell>
          <cell r="AA329">
            <v>0.14364000000000002</v>
          </cell>
          <cell r="AB329">
            <v>0.14364000000000002</v>
          </cell>
          <cell r="AC329">
            <v>0.14364000000000002</v>
          </cell>
          <cell r="AD329">
            <v>0.14364000000000002</v>
          </cell>
          <cell r="AE329">
            <v>0.14364000000000002</v>
          </cell>
          <cell r="AF329">
            <v>0.14364000000000002</v>
          </cell>
          <cell r="AG329">
            <v>0.14364000000000002</v>
          </cell>
          <cell r="AH329">
            <v>0.14364000000000002</v>
          </cell>
          <cell r="AI329">
            <v>0.14364000000000002</v>
          </cell>
          <cell r="AJ329">
            <v>0.14364000000000002</v>
          </cell>
        </row>
        <row r="330">
          <cell r="E330" t="str">
            <v>DCSDRI</v>
          </cell>
          <cell r="F330">
            <v>0.30560000000000004</v>
          </cell>
          <cell r="G330">
            <v>0.30437760000000003</v>
          </cell>
          <cell r="H330">
            <v>0.30316008960000002</v>
          </cell>
          <cell r="I330">
            <v>0.30194744924160005</v>
          </cell>
          <cell r="J330">
            <v>0.30073965944463366</v>
          </cell>
          <cell r="K330">
            <v>0.29953670080685507</v>
          </cell>
          <cell r="L330">
            <v>0.18336000000000002</v>
          </cell>
          <cell r="M330">
            <v>0.18336000000000002</v>
          </cell>
          <cell r="N330">
            <v>0.18336000000000002</v>
          </cell>
          <cell r="O330">
            <v>0.18336000000000002</v>
          </cell>
          <cell r="P330">
            <v>0.18336000000000002</v>
          </cell>
          <cell r="Q330">
            <v>0.15280000000000002</v>
          </cell>
          <cell r="R330">
            <v>0.15280000000000002</v>
          </cell>
          <cell r="S330">
            <v>0.15280000000000002</v>
          </cell>
          <cell r="T330">
            <v>0.15280000000000002</v>
          </cell>
          <cell r="U330">
            <v>0.20930400000000002</v>
          </cell>
          <cell r="V330">
            <v>0.20930400000000002</v>
          </cell>
          <cell r="W330">
            <v>0.20930400000000002</v>
          </cell>
          <cell r="X330">
            <v>0.20930400000000002</v>
          </cell>
          <cell r="Y330">
            <v>0.20930400000000002</v>
          </cell>
          <cell r="Z330">
            <v>0.20930400000000002</v>
          </cell>
          <cell r="AA330">
            <v>0.20930400000000002</v>
          </cell>
          <cell r="AB330">
            <v>0.20930400000000002</v>
          </cell>
          <cell r="AC330">
            <v>0.20930400000000002</v>
          </cell>
          <cell r="AD330">
            <v>0.20930400000000002</v>
          </cell>
          <cell r="AE330">
            <v>0.20930400000000002</v>
          </cell>
          <cell r="AF330">
            <v>0.20930400000000002</v>
          </cell>
          <cell r="AG330">
            <v>0.20930400000000002</v>
          </cell>
          <cell r="AH330">
            <v>0.20930400000000002</v>
          </cell>
          <cell r="AI330">
            <v>0.20930400000000002</v>
          </cell>
          <cell r="AJ330">
            <v>0.20930400000000002</v>
          </cell>
        </row>
        <row r="331">
          <cell r="E331" t="str">
            <v>DCSCrude steel (BOF route)</v>
          </cell>
          <cell r="F331">
            <v>1.6742000000000001</v>
          </cell>
          <cell r="G331">
            <v>1.6702404</v>
          </cell>
          <cell r="H331">
            <v>1.666291164</v>
          </cell>
          <cell r="I331">
            <v>1.6623522614928001</v>
          </cell>
          <cell r="J331">
            <v>1.6584236620713313</v>
          </cell>
          <cell r="K331">
            <v>1.6545053354282993</v>
          </cell>
          <cell r="L331">
            <v>1.0045200000000001</v>
          </cell>
          <cell r="M331">
            <v>1.0045200000000001</v>
          </cell>
          <cell r="N331">
            <v>1.0045200000000001</v>
          </cell>
          <cell r="O331">
            <v>1.0045200000000001</v>
          </cell>
          <cell r="P331">
            <v>1.0045200000000001</v>
          </cell>
          <cell r="Q331">
            <v>0.83710000000000007</v>
          </cell>
          <cell r="R331">
            <v>0.83710000000000007</v>
          </cell>
          <cell r="S331">
            <v>0.83710000000000007</v>
          </cell>
          <cell r="T331">
            <v>0.83710000000000007</v>
          </cell>
          <cell r="U331">
            <v>1.286832</v>
          </cell>
          <cell r="V331">
            <v>1.286832</v>
          </cell>
          <cell r="W331">
            <v>1.286832</v>
          </cell>
          <cell r="X331">
            <v>1.286832</v>
          </cell>
          <cell r="Y331">
            <v>1.286832</v>
          </cell>
          <cell r="Z331">
            <v>1.286832</v>
          </cell>
          <cell r="AA331">
            <v>1.286832</v>
          </cell>
          <cell r="AB331">
            <v>1.286832</v>
          </cell>
          <cell r="AC331">
            <v>1.286832</v>
          </cell>
          <cell r="AD331">
            <v>1.286832</v>
          </cell>
          <cell r="AE331">
            <v>1.286832</v>
          </cell>
          <cell r="AF331">
            <v>1.286832</v>
          </cell>
          <cell r="AG331">
            <v>1.286832</v>
          </cell>
          <cell r="AH331">
            <v>1.286832</v>
          </cell>
          <cell r="AI331">
            <v>1.286832</v>
          </cell>
          <cell r="AJ331">
            <v>1.286832</v>
          </cell>
        </row>
        <row r="332">
          <cell r="E332" t="str">
            <v>DCSCrude steel (EAF route)</v>
          </cell>
          <cell r="F332">
            <v>0.37140000000000001</v>
          </cell>
          <cell r="G332">
            <v>0.37065720000000002</v>
          </cell>
          <cell r="H332">
            <v>0.36991588559999999</v>
          </cell>
          <cell r="I332">
            <v>0.36917605382879998</v>
          </cell>
          <cell r="J332">
            <v>0.36843770172114237</v>
          </cell>
          <cell r="K332">
            <v>0.36770082631770007</v>
          </cell>
          <cell r="L332">
            <v>0.22283999999999998</v>
          </cell>
          <cell r="M332">
            <v>0.22283999999999998</v>
          </cell>
          <cell r="N332">
            <v>0.22283999999999998</v>
          </cell>
          <cell r="O332">
            <v>0.22283999999999998</v>
          </cell>
          <cell r="P332">
            <v>0.22283999999999998</v>
          </cell>
          <cell r="Q332">
            <v>0.18569999999999998</v>
          </cell>
          <cell r="R332">
            <v>0.18569999999999998</v>
          </cell>
          <cell r="S332">
            <v>0.18569999999999998</v>
          </cell>
          <cell r="T332">
            <v>0.18569999999999998</v>
          </cell>
          <cell r="U332">
            <v>0.3175</v>
          </cell>
          <cell r="V332">
            <v>0.3175</v>
          </cell>
          <cell r="W332">
            <v>0.3175</v>
          </cell>
          <cell r="X332">
            <v>0.3175</v>
          </cell>
          <cell r="Y332">
            <v>0.3175</v>
          </cell>
          <cell r="Z332">
            <v>0.3175</v>
          </cell>
          <cell r="AA332">
            <v>0.3175</v>
          </cell>
          <cell r="AB332">
            <v>0.3175</v>
          </cell>
          <cell r="AC332">
            <v>0.3175</v>
          </cell>
          <cell r="AD332">
            <v>0.3175</v>
          </cell>
          <cell r="AE332">
            <v>0.3175</v>
          </cell>
          <cell r="AF332">
            <v>0.3175</v>
          </cell>
          <cell r="AG332">
            <v>0.3175</v>
          </cell>
          <cell r="AH332">
            <v>0.3175</v>
          </cell>
          <cell r="AI332">
            <v>0.3175</v>
          </cell>
          <cell r="AJ332">
            <v>0.3175</v>
          </cell>
        </row>
        <row r="333">
          <cell r="E333" t="str">
            <v>DCSSteel (BF-BOF route)</v>
          </cell>
          <cell r="F333">
            <v>1.8633846000000001</v>
          </cell>
          <cell r="G333">
            <v>1.8589775652</v>
          </cell>
          <cell r="H333">
            <v>1.854582065532</v>
          </cell>
          <cell r="I333">
            <v>1.8501980670414866</v>
          </cell>
          <cell r="J333">
            <v>1.8458255358853917</v>
          </cell>
          <cell r="K333">
            <v>1.8414644383316972</v>
          </cell>
          <cell r="L333">
            <v>1.1180307600000001</v>
          </cell>
          <cell r="M333">
            <v>1.1180307600000001</v>
          </cell>
          <cell r="N333">
            <v>1.1180307600000001</v>
          </cell>
          <cell r="O333">
            <v>1.1180307600000001</v>
          </cell>
          <cell r="P333">
            <v>1.1180307600000001</v>
          </cell>
          <cell r="Q333">
            <v>0.93169230000000003</v>
          </cell>
          <cell r="R333">
            <v>0.93169230000000003</v>
          </cell>
          <cell r="S333">
            <v>0.93169230000000003</v>
          </cell>
          <cell r="T333">
            <v>0.93169230000000003</v>
          </cell>
          <cell r="U333">
            <v>1.3635767999999999</v>
          </cell>
          <cell r="V333">
            <v>1.3635767999999999</v>
          </cell>
          <cell r="W333">
            <v>1.3635767999999999</v>
          </cell>
          <cell r="X333">
            <v>1.3635767999999999</v>
          </cell>
          <cell r="Y333">
            <v>1.3635767999999999</v>
          </cell>
          <cell r="Z333">
            <v>1.3635767999999999</v>
          </cell>
          <cell r="AA333">
            <v>1.3635767999999999</v>
          </cell>
          <cell r="AB333">
            <v>1.3635767999999999</v>
          </cell>
          <cell r="AC333">
            <v>1.3635767999999999</v>
          </cell>
          <cell r="AD333">
            <v>1.3635767999999999</v>
          </cell>
          <cell r="AE333">
            <v>1.3635767999999999</v>
          </cell>
          <cell r="AF333">
            <v>1.3635767999999999</v>
          </cell>
          <cell r="AG333">
            <v>1.3635767999999999</v>
          </cell>
          <cell r="AH333">
            <v>1.3635767999999999</v>
          </cell>
          <cell r="AI333">
            <v>1.3635767999999999</v>
          </cell>
          <cell r="AJ333">
            <v>1.3635767999999999</v>
          </cell>
        </row>
        <row r="334">
          <cell r="E334" t="str">
            <v>DCSSteel (DRI-EAF route)</v>
          </cell>
          <cell r="F334">
            <v>0.67700000000000005</v>
          </cell>
          <cell r="G334">
            <v>0.62284000000000006</v>
          </cell>
          <cell r="H334">
            <v>0.62284000000000006</v>
          </cell>
          <cell r="I334">
            <v>0.62284000000000006</v>
          </cell>
          <cell r="J334">
            <v>0.62284000000000006</v>
          </cell>
          <cell r="K334">
            <v>0.62284000000000006</v>
          </cell>
          <cell r="L334">
            <v>0.56868000000000007</v>
          </cell>
          <cell r="M334">
            <v>0.56868000000000007</v>
          </cell>
          <cell r="N334">
            <v>0.56868000000000007</v>
          </cell>
          <cell r="O334">
            <v>0.56868000000000007</v>
          </cell>
          <cell r="P334">
            <v>0.56868000000000007</v>
          </cell>
          <cell r="Q334">
            <v>0.51452000000000009</v>
          </cell>
          <cell r="R334">
            <v>0.51452000000000009</v>
          </cell>
          <cell r="S334">
            <v>0.51452000000000009</v>
          </cell>
          <cell r="T334">
            <v>0.51452000000000009</v>
          </cell>
          <cell r="U334">
            <v>0.24418800000000002</v>
          </cell>
          <cell r="V334">
            <v>0.24418800000000002</v>
          </cell>
          <cell r="W334">
            <v>0.24418800000000002</v>
          </cell>
          <cell r="X334">
            <v>0.24418800000000002</v>
          </cell>
          <cell r="Y334">
            <v>0.24418800000000002</v>
          </cell>
          <cell r="Z334">
            <v>0.24418800000000002</v>
          </cell>
          <cell r="AA334">
            <v>0.24418800000000002</v>
          </cell>
          <cell r="AB334">
            <v>0.24418800000000002</v>
          </cell>
          <cell r="AC334">
            <v>0.24418800000000002</v>
          </cell>
          <cell r="AD334">
            <v>0.24418800000000002</v>
          </cell>
          <cell r="AE334">
            <v>0.24418800000000002</v>
          </cell>
          <cell r="AF334">
            <v>0.24418800000000002</v>
          </cell>
          <cell r="AG334">
            <v>0.24418800000000002</v>
          </cell>
          <cell r="AH334">
            <v>0.24418800000000002</v>
          </cell>
          <cell r="AI334">
            <v>0.24418800000000002</v>
          </cell>
          <cell r="AJ334">
            <v>0.24418800000000002</v>
          </cell>
        </row>
        <row r="335">
          <cell r="E335" t="str">
            <v>DCSSteel (Scrap-EAF route)</v>
          </cell>
          <cell r="F335">
            <v>0.37140000000000001</v>
          </cell>
          <cell r="G335">
            <v>0.37065720000000002</v>
          </cell>
          <cell r="H335">
            <v>0.36991588559999999</v>
          </cell>
          <cell r="I335">
            <v>0.36917605382879998</v>
          </cell>
          <cell r="J335">
            <v>0.36843770172114237</v>
          </cell>
          <cell r="K335">
            <v>0.36770082631770007</v>
          </cell>
          <cell r="L335">
            <v>0.22283999999999998</v>
          </cell>
          <cell r="M335">
            <v>0.22283999999999998</v>
          </cell>
          <cell r="N335">
            <v>0.22283999999999998</v>
          </cell>
          <cell r="O335">
            <v>0.22283999999999998</v>
          </cell>
          <cell r="P335">
            <v>0.22283999999999998</v>
          </cell>
          <cell r="Q335">
            <v>0.18569999999999998</v>
          </cell>
          <cell r="R335">
            <v>0.18569999999999998</v>
          </cell>
          <cell r="S335">
            <v>0.18569999999999998</v>
          </cell>
          <cell r="T335">
            <v>0.18569999999999998</v>
          </cell>
          <cell r="U335">
            <v>0.16250000000000001</v>
          </cell>
          <cell r="V335">
            <v>0.16250000000000001</v>
          </cell>
          <cell r="W335">
            <v>0.16250000000000001</v>
          </cell>
          <cell r="X335">
            <v>0.16250000000000001</v>
          </cell>
          <cell r="Y335">
            <v>0.16250000000000001</v>
          </cell>
          <cell r="Z335">
            <v>0.16250000000000001</v>
          </cell>
          <cell r="AA335">
            <v>0.16250000000000001</v>
          </cell>
          <cell r="AB335">
            <v>0.16250000000000001</v>
          </cell>
          <cell r="AC335">
            <v>0.16250000000000001</v>
          </cell>
          <cell r="AD335">
            <v>0.16250000000000001</v>
          </cell>
          <cell r="AE335">
            <v>0.16250000000000001</v>
          </cell>
          <cell r="AF335">
            <v>0.16250000000000001</v>
          </cell>
          <cell r="AG335">
            <v>0.16250000000000001</v>
          </cell>
          <cell r="AH335">
            <v>0.16250000000000001</v>
          </cell>
          <cell r="AI335">
            <v>0.16250000000000001</v>
          </cell>
          <cell r="AJ335">
            <v>0.16250000000000001</v>
          </cell>
        </row>
        <row r="337">
          <cell r="E337" t="str">
            <v>NESSintered ore</v>
          </cell>
          <cell r="F337">
            <v>0.191</v>
          </cell>
          <cell r="G337">
            <v>0.189472</v>
          </cell>
          <cell r="H337">
            <v>0.18795622400000001</v>
          </cell>
          <cell r="I337">
            <v>0.18645257420800002</v>
          </cell>
          <cell r="J337">
            <v>0.18496095361433601</v>
          </cell>
          <cell r="K337">
            <v>0.18348126598542133</v>
          </cell>
          <cell r="L337">
            <v>3.8200000000000012E-2</v>
          </cell>
          <cell r="M337">
            <v>3.8200000000000012E-2</v>
          </cell>
          <cell r="N337">
            <v>3.8200000000000012E-2</v>
          </cell>
          <cell r="O337">
            <v>3.8200000000000012E-2</v>
          </cell>
          <cell r="P337">
            <v>3.8200000000000012E-2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6.4125000000000001E-2</v>
          </cell>
          <cell r="V337">
            <v>6.4125000000000001E-2</v>
          </cell>
          <cell r="W337">
            <v>6.4125000000000001E-2</v>
          </cell>
          <cell r="X337">
            <v>6.4125000000000001E-2</v>
          </cell>
          <cell r="Y337">
            <v>6.4125000000000001E-2</v>
          </cell>
          <cell r="Z337">
            <v>6.4125000000000001E-2</v>
          </cell>
          <cell r="AA337">
            <v>6.4125000000000001E-2</v>
          </cell>
          <cell r="AB337">
            <v>6.4125000000000001E-2</v>
          </cell>
          <cell r="AC337">
            <v>6.4125000000000001E-2</v>
          </cell>
          <cell r="AD337">
            <v>6.4125000000000001E-2</v>
          </cell>
          <cell r="AE337">
            <v>6.4125000000000001E-2</v>
          </cell>
          <cell r="AF337">
            <v>6.4125000000000001E-2</v>
          </cell>
          <cell r="AG337">
            <v>6.4125000000000001E-2</v>
          </cell>
          <cell r="AH337">
            <v>6.4125000000000001E-2</v>
          </cell>
          <cell r="AI337">
            <v>6.4125000000000001E-2</v>
          </cell>
          <cell r="AJ337">
            <v>6.4125000000000001E-2</v>
          </cell>
        </row>
        <row r="338">
          <cell r="E338" t="str">
            <v>NESAlloys</v>
          </cell>
          <cell r="F338">
            <v>0.30560000000000004</v>
          </cell>
          <cell r="G338">
            <v>0.30315520000000001</v>
          </cell>
          <cell r="H338">
            <v>0.30072995840000005</v>
          </cell>
          <cell r="I338">
            <v>0.29832411873280001</v>
          </cell>
          <cell r="J338">
            <v>0.29593752578293764</v>
          </cell>
          <cell r="K338">
            <v>0.29357002557667417</v>
          </cell>
          <cell r="L338">
            <v>6.1120000000000022E-2</v>
          </cell>
          <cell r="M338">
            <v>6.1120000000000022E-2</v>
          </cell>
          <cell r="N338">
            <v>6.1120000000000022E-2</v>
          </cell>
          <cell r="O338">
            <v>6.1120000000000022E-2</v>
          </cell>
          <cell r="P338">
            <v>6.1120000000000022E-2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7.6950000000000005E-2</v>
          </cell>
          <cell r="V338">
            <v>7.6950000000000005E-2</v>
          </cell>
          <cell r="W338">
            <v>7.6950000000000005E-2</v>
          </cell>
          <cell r="X338">
            <v>7.6950000000000005E-2</v>
          </cell>
          <cell r="Y338">
            <v>7.6950000000000005E-2</v>
          </cell>
          <cell r="Z338">
            <v>7.6950000000000005E-2</v>
          </cell>
          <cell r="AA338">
            <v>7.6950000000000005E-2</v>
          </cell>
          <cell r="AB338">
            <v>7.6950000000000005E-2</v>
          </cell>
          <cell r="AC338">
            <v>7.6950000000000005E-2</v>
          </cell>
          <cell r="AD338">
            <v>7.6950000000000005E-2</v>
          </cell>
          <cell r="AE338">
            <v>7.6950000000000005E-2</v>
          </cell>
          <cell r="AF338">
            <v>7.6950000000000005E-2</v>
          </cell>
          <cell r="AG338">
            <v>7.6950000000000005E-2</v>
          </cell>
          <cell r="AH338">
            <v>7.6950000000000005E-2</v>
          </cell>
          <cell r="AI338">
            <v>7.6950000000000005E-2</v>
          </cell>
          <cell r="AJ338">
            <v>7.6950000000000005E-2</v>
          </cell>
        </row>
        <row r="339">
          <cell r="E339" t="str">
            <v>NESPig iron (BF)</v>
          </cell>
          <cell r="F339">
            <v>1.3686</v>
          </cell>
          <cell r="G339">
            <v>1.3576512000000001</v>
          </cell>
          <cell r="H339">
            <v>1.3467899904</v>
          </cell>
          <cell r="I339">
            <v>1.3360156704768</v>
          </cell>
          <cell r="J339">
            <v>1.3253275451129856</v>
          </cell>
          <cell r="K339">
            <v>1.3147249247520816</v>
          </cell>
          <cell r="L339">
            <v>0.27371999999999996</v>
          </cell>
          <cell r="M339">
            <v>0.27371999999999996</v>
          </cell>
          <cell r="N339">
            <v>0.27371999999999996</v>
          </cell>
          <cell r="O339">
            <v>0.27371999999999996</v>
          </cell>
          <cell r="P339">
            <v>0.27371999999999996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0.13081500000000001</v>
          </cell>
          <cell r="V339">
            <v>0.13081500000000001</v>
          </cell>
          <cell r="W339">
            <v>0.13081500000000001</v>
          </cell>
          <cell r="X339">
            <v>0.13081500000000001</v>
          </cell>
          <cell r="Y339">
            <v>0.13081500000000001</v>
          </cell>
          <cell r="Z339">
            <v>0.13081500000000001</v>
          </cell>
          <cell r="AA339">
            <v>0.13081500000000001</v>
          </cell>
          <cell r="AB339">
            <v>0.13081500000000001</v>
          </cell>
          <cell r="AC339">
            <v>0.13081500000000001</v>
          </cell>
          <cell r="AD339">
            <v>0.13081500000000001</v>
          </cell>
          <cell r="AE339">
            <v>0.13081500000000001</v>
          </cell>
          <cell r="AF339">
            <v>0.13081500000000001</v>
          </cell>
          <cell r="AG339">
            <v>0.13081500000000001</v>
          </cell>
          <cell r="AH339">
            <v>0.13081500000000001</v>
          </cell>
          <cell r="AI339">
            <v>0.13081500000000001</v>
          </cell>
          <cell r="AJ339">
            <v>0.13081500000000001</v>
          </cell>
        </row>
        <row r="340">
          <cell r="E340" t="str">
            <v>NESPig iron (smelting reduction)</v>
          </cell>
          <cell r="F340">
            <v>0.30560000000000004</v>
          </cell>
          <cell r="G340">
            <v>0.30315520000000001</v>
          </cell>
          <cell r="H340">
            <v>0.30072995840000005</v>
          </cell>
          <cell r="I340">
            <v>0.29832411873280001</v>
          </cell>
          <cell r="J340">
            <v>0.29593752578293764</v>
          </cell>
          <cell r="K340">
            <v>0.29357002557667417</v>
          </cell>
          <cell r="L340">
            <v>6.1120000000000022E-2</v>
          </cell>
          <cell r="M340">
            <v>6.1120000000000022E-2</v>
          </cell>
          <cell r="N340">
            <v>6.1120000000000022E-2</v>
          </cell>
          <cell r="O340">
            <v>6.1120000000000022E-2</v>
          </cell>
          <cell r="P340">
            <v>6.1120000000000022E-2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0.10773000000000001</v>
          </cell>
          <cell r="V340">
            <v>0.10773000000000001</v>
          </cell>
          <cell r="W340">
            <v>0.10773000000000001</v>
          </cell>
          <cell r="X340">
            <v>0.10773000000000001</v>
          </cell>
          <cell r="Y340">
            <v>0.10773000000000001</v>
          </cell>
          <cell r="Z340">
            <v>0.10773000000000001</v>
          </cell>
          <cell r="AA340">
            <v>0.10773000000000001</v>
          </cell>
          <cell r="AB340">
            <v>0.10773000000000001</v>
          </cell>
          <cell r="AC340">
            <v>0.10773000000000001</v>
          </cell>
          <cell r="AD340">
            <v>0.10773000000000001</v>
          </cell>
          <cell r="AE340">
            <v>0.10773000000000001</v>
          </cell>
          <cell r="AF340">
            <v>0.10773000000000001</v>
          </cell>
          <cell r="AG340">
            <v>0.10773000000000001</v>
          </cell>
          <cell r="AH340">
            <v>0.10773000000000001</v>
          </cell>
          <cell r="AI340">
            <v>0.10773000000000001</v>
          </cell>
          <cell r="AJ340">
            <v>0.10773000000000001</v>
          </cell>
        </row>
        <row r="341">
          <cell r="E341" t="str">
            <v>NESDRI</v>
          </cell>
          <cell r="F341">
            <v>0.30560000000000004</v>
          </cell>
          <cell r="G341">
            <v>0.30315520000000001</v>
          </cell>
          <cell r="H341">
            <v>0.30072995840000005</v>
          </cell>
          <cell r="I341">
            <v>0.29832411873280001</v>
          </cell>
          <cell r="J341">
            <v>0.29593752578293764</v>
          </cell>
          <cell r="K341">
            <v>0.29357002557667417</v>
          </cell>
          <cell r="L341">
            <v>6.1120000000000022E-2</v>
          </cell>
          <cell r="M341">
            <v>6.1120000000000022E-2</v>
          </cell>
          <cell r="N341">
            <v>6.1120000000000022E-2</v>
          </cell>
          <cell r="O341">
            <v>6.1120000000000022E-2</v>
          </cell>
          <cell r="P341">
            <v>6.1120000000000022E-2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0.15697800000000001</v>
          </cell>
          <cell r="V341">
            <v>0.15697800000000001</v>
          </cell>
          <cell r="W341">
            <v>0.15697800000000001</v>
          </cell>
          <cell r="X341">
            <v>0.15697800000000001</v>
          </cell>
          <cell r="Y341">
            <v>0.15697800000000001</v>
          </cell>
          <cell r="Z341">
            <v>0.15697800000000001</v>
          </cell>
          <cell r="AA341">
            <v>0.15697800000000001</v>
          </cell>
          <cell r="AB341">
            <v>0.15697800000000001</v>
          </cell>
          <cell r="AC341">
            <v>0.15697800000000001</v>
          </cell>
          <cell r="AD341">
            <v>0.15697800000000001</v>
          </cell>
          <cell r="AE341">
            <v>0.15697800000000001</v>
          </cell>
          <cell r="AF341">
            <v>0.15697800000000001</v>
          </cell>
          <cell r="AG341">
            <v>0.15697800000000001</v>
          </cell>
          <cell r="AH341">
            <v>0.15697800000000001</v>
          </cell>
          <cell r="AI341">
            <v>0.15697800000000001</v>
          </cell>
          <cell r="AJ341">
            <v>0.15697800000000001</v>
          </cell>
        </row>
        <row r="342">
          <cell r="E342" t="str">
            <v>NESCrude steel (BOF route)</v>
          </cell>
          <cell r="F342">
            <v>1.6742000000000001</v>
          </cell>
          <cell r="G342">
            <v>1.6608064</v>
          </cell>
          <cell r="H342">
            <v>1.6475199488000001</v>
          </cell>
          <cell r="I342">
            <v>1.6343397892096001</v>
          </cell>
          <cell r="J342">
            <v>1.6212650708959231</v>
          </cell>
          <cell r="K342">
            <v>1.6082949503287558</v>
          </cell>
          <cell r="L342">
            <v>0.33483999999999997</v>
          </cell>
          <cell r="M342">
            <v>0.33483999999999997</v>
          </cell>
          <cell r="N342">
            <v>0.33483999999999997</v>
          </cell>
          <cell r="O342">
            <v>0.33483999999999997</v>
          </cell>
          <cell r="P342">
            <v>0.33483999999999997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1.1852400000000001</v>
          </cell>
          <cell r="V342">
            <v>1.1852400000000001</v>
          </cell>
          <cell r="W342">
            <v>1.1852400000000001</v>
          </cell>
          <cell r="X342">
            <v>1.1852400000000001</v>
          </cell>
          <cell r="Y342">
            <v>1.1852400000000001</v>
          </cell>
          <cell r="Z342">
            <v>1.1852400000000001</v>
          </cell>
          <cell r="AA342">
            <v>1.1852400000000001</v>
          </cell>
          <cell r="AB342">
            <v>1.1852400000000001</v>
          </cell>
          <cell r="AC342">
            <v>1.1852400000000001</v>
          </cell>
          <cell r="AD342">
            <v>1.1852400000000001</v>
          </cell>
          <cell r="AE342">
            <v>1.1852400000000001</v>
          </cell>
          <cell r="AF342">
            <v>1.1852400000000001</v>
          </cell>
          <cell r="AG342">
            <v>1.1852400000000001</v>
          </cell>
          <cell r="AH342">
            <v>1.1852400000000001</v>
          </cell>
          <cell r="AI342">
            <v>1.1852400000000001</v>
          </cell>
          <cell r="AJ342">
            <v>1.1852400000000001</v>
          </cell>
        </row>
        <row r="343">
          <cell r="E343" t="str">
            <v>NESCrude steel (EAF route)</v>
          </cell>
          <cell r="F343">
            <v>0.37140000000000001</v>
          </cell>
          <cell r="G343">
            <v>0.7368576</v>
          </cell>
          <cell r="H343">
            <v>0.73096273919999999</v>
          </cell>
          <cell r="I343">
            <v>0.72511503728640003</v>
          </cell>
          <cell r="J343">
            <v>0.71931411698810888</v>
          </cell>
          <cell r="K343">
            <v>0.71355960405220398</v>
          </cell>
          <cell r="L343">
            <v>0.14855999999999991</v>
          </cell>
          <cell r="M343">
            <v>0.14855999999999991</v>
          </cell>
          <cell r="N343">
            <v>0.14855999999999991</v>
          </cell>
          <cell r="O343">
            <v>0.14855999999999991</v>
          </cell>
          <cell r="P343">
            <v>0.14855999999999991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0.23812499999999995</v>
          </cell>
          <cell r="V343">
            <v>0.23812499999999995</v>
          </cell>
          <cell r="W343">
            <v>0.23812499999999995</v>
          </cell>
          <cell r="X343">
            <v>0.23812499999999995</v>
          </cell>
          <cell r="Y343">
            <v>0.23812499999999995</v>
          </cell>
          <cell r="Z343">
            <v>0.23812499999999995</v>
          </cell>
          <cell r="AA343">
            <v>0.23812499999999995</v>
          </cell>
          <cell r="AB343">
            <v>0.23812499999999995</v>
          </cell>
          <cell r="AC343">
            <v>0.23812499999999995</v>
          </cell>
          <cell r="AD343">
            <v>0.23812499999999995</v>
          </cell>
          <cell r="AE343">
            <v>0.23812499999999995</v>
          </cell>
          <cell r="AF343">
            <v>0.23812499999999995</v>
          </cell>
          <cell r="AG343">
            <v>0.23812499999999995</v>
          </cell>
          <cell r="AH343">
            <v>0.23812499999999995</v>
          </cell>
          <cell r="AI343">
            <v>0.23812499999999995</v>
          </cell>
          <cell r="AJ343">
            <v>0.23812499999999995</v>
          </cell>
        </row>
        <row r="344">
          <cell r="E344" t="str">
            <v>NESSteel (BF-BOF route)</v>
          </cell>
          <cell r="F344">
            <v>1.8633846000000001</v>
          </cell>
          <cell r="G344">
            <v>1.8484775231999999</v>
          </cell>
          <cell r="H344">
            <v>1.8336897030144002</v>
          </cell>
          <cell r="I344">
            <v>1.819020185390285</v>
          </cell>
          <cell r="J344">
            <v>1.8044680239071624</v>
          </cell>
          <cell r="K344">
            <v>1.7900322797159052</v>
          </cell>
          <cell r="L344">
            <v>0.37267691999999997</v>
          </cell>
          <cell r="M344">
            <v>0.37267691999999997</v>
          </cell>
          <cell r="N344">
            <v>0.37267691999999997</v>
          </cell>
          <cell r="O344">
            <v>0.37267691999999997</v>
          </cell>
          <cell r="P344">
            <v>0.37267691999999997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1.2427986</v>
          </cell>
          <cell r="V344">
            <v>1.2427986</v>
          </cell>
          <cell r="W344">
            <v>1.2427986</v>
          </cell>
          <cell r="X344">
            <v>1.2427986</v>
          </cell>
          <cell r="Y344">
            <v>1.2427986</v>
          </cell>
          <cell r="Z344">
            <v>1.2427986</v>
          </cell>
          <cell r="AA344">
            <v>1.2427986</v>
          </cell>
          <cell r="AB344">
            <v>1.2427986</v>
          </cell>
          <cell r="AC344">
            <v>1.2427986</v>
          </cell>
          <cell r="AD344">
            <v>1.2427986</v>
          </cell>
          <cell r="AE344">
            <v>1.2427986</v>
          </cell>
          <cell r="AF344">
            <v>1.2427986</v>
          </cell>
          <cell r="AG344">
            <v>1.2427986</v>
          </cell>
          <cell r="AH344">
            <v>1.2427986</v>
          </cell>
          <cell r="AI344">
            <v>1.2427986</v>
          </cell>
          <cell r="AJ344">
            <v>1.2427986</v>
          </cell>
        </row>
        <row r="345">
          <cell r="E345" t="str">
            <v>NESSteel (DRI-EAF route)</v>
          </cell>
          <cell r="F345">
            <v>0.67700000000000005</v>
          </cell>
          <cell r="G345">
            <v>0.62284000000000006</v>
          </cell>
          <cell r="H345">
            <v>0.62284000000000006</v>
          </cell>
          <cell r="I345">
            <v>0.62284000000000006</v>
          </cell>
          <cell r="J345">
            <v>0.62284000000000006</v>
          </cell>
          <cell r="K345">
            <v>0.62284000000000006</v>
          </cell>
          <cell r="L345">
            <v>0.56868000000000007</v>
          </cell>
          <cell r="M345">
            <v>0.56868000000000007</v>
          </cell>
          <cell r="N345">
            <v>0.56868000000000007</v>
          </cell>
          <cell r="O345">
            <v>0.56868000000000007</v>
          </cell>
          <cell r="P345">
            <v>0.56868000000000007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0.183141</v>
          </cell>
          <cell r="V345">
            <v>0.183141</v>
          </cell>
          <cell r="W345">
            <v>0.183141</v>
          </cell>
          <cell r="X345">
            <v>0.183141</v>
          </cell>
          <cell r="Y345">
            <v>0.183141</v>
          </cell>
          <cell r="Z345">
            <v>0.183141</v>
          </cell>
          <cell r="AA345">
            <v>0.183141</v>
          </cell>
          <cell r="AB345">
            <v>0.183141</v>
          </cell>
          <cell r="AC345">
            <v>0.183141</v>
          </cell>
          <cell r="AD345">
            <v>0.183141</v>
          </cell>
          <cell r="AE345">
            <v>0.183141</v>
          </cell>
          <cell r="AF345">
            <v>0.183141</v>
          </cell>
          <cell r="AG345">
            <v>0.183141</v>
          </cell>
          <cell r="AH345">
            <v>0.183141</v>
          </cell>
          <cell r="AI345">
            <v>0.183141</v>
          </cell>
          <cell r="AJ345">
            <v>0.183141</v>
          </cell>
        </row>
        <row r="346">
          <cell r="E346" t="str">
            <v>NESSteel (Scrap-EAF route)</v>
          </cell>
          <cell r="F346">
            <v>0.37140000000000001</v>
          </cell>
          <cell r="G346">
            <v>0.3684288</v>
          </cell>
          <cell r="H346">
            <v>0.36548136959999999</v>
          </cell>
          <cell r="I346">
            <v>0.36255751864320002</v>
          </cell>
          <cell r="J346">
            <v>0.35965705849405444</v>
          </cell>
          <cell r="K346">
            <v>0.35677980202610199</v>
          </cell>
          <cell r="L346">
            <v>7.4279999999999957E-2</v>
          </cell>
          <cell r="M346">
            <v>7.4279999999999957E-2</v>
          </cell>
          <cell r="N346">
            <v>7.4279999999999957E-2</v>
          </cell>
          <cell r="O346">
            <v>7.4279999999999957E-2</v>
          </cell>
          <cell r="P346">
            <v>7.4279999999999957E-2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0.12187500000000001</v>
          </cell>
          <cell r="V346">
            <v>0.12187500000000001</v>
          </cell>
          <cell r="W346">
            <v>0.12187500000000001</v>
          </cell>
          <cell r="X346">
            <v>0.12187500000000001</v>
          </cell>
          <cell r="Y346">
            <v>0.12187500000000001</v>
          </cell>
          <cell r="Z346">
            <v>0.12187500000000001</v>
          </cell>
          <cell r="AA346">
            <v>0.12187500000000001</v>
          </cell>
          <cell r="AB346">
            <v>0.12187500000000001</v>
          </cell>
          <cell r="AC346">
            <v>0.12187500000000001</v>
          </cell>
          <cell r="AD346">
            <v>0.12187500000000001</v>
          </cell>
          <cell r="AE346">
            <v>0.12187500000000001</v>
          </cell>
          <cell r="AF346">
            <v>0.12187500000000001</v>
          </cell>
          <cell r="AG346">
            <v>0.12187500000000001</v>
          </cell>
          <cell r="AH346">
            <v>0.12187500000000001</v>
          </cell>
          <cell r="AI346">
            <v>0.12187500000000001</v>
          </cell>
          <cell r="AJ346">
            <v>0.12187500000000001</v>
          </cell>
        </row>
      </sheetData>
      <sheetData sheetId="25">
        <row r="29">
          <cell r="E29" t="str">
            <v>BAUSintered ore</v>
          </cell>
          <cell r="F29">
            <v>0.17100000000000001</v>
          </cell>
          <cell r="G29">
            <v>0.157</v>
          </cell>
          <cell r="H29">
            <v>0.157</v>
          </cell>
          <cell r="I29">
            <v>0.157</v>
          </cell>
          <cell r="J29">
            <v>0.157</v>
          </cell>
          <cell r="K29">
            <v>0.157</v>
          </cell>
          <cell r="L29">
            <v>0.11628000000000001</v>
          </cell>
          <cell r="M29">
            <v>0.11628000000000001</v>
          </cell>
          <cell r="N29">
            <v>0.11628000000000001</v>
          </cell>
          <cell r="O29">
            <v>0.11628000000000001</v>
          </cell>
          <cell r="P29">
            <v>0.11628000000000001</v>
          </cell>
          <cell r="Q29">
            <v>0.10260000000000001</v>
          </cell>
          <cell r="R29">
            <v>0.10260000000000001</v>
          </cell>
          <cell r="S29">
            <v>0.10260000000000001</v>
          </cell>
          <cell r="T29">
            <v>0.10260000000000001</v>
          </cell>
          <cell r="AN29" t="str">
            <v>烧结矿</v>
          </cell>
          <cell r="AO29" t="str">
            <v>BAU</v>
          </cell>
          <cell r="AP29">
            <v>0.17100000000000001</v>
          </cell>
          <cell r="AQ29">
            <v>0.157</v>
          </cell>
          <cell r="AR29">
            <v>0.11628000000000001</v>
          </cell>
          <cell r="AS29">
            <v>0.10260000000000001</v>
          </cell>
        </row>
        <row r="30">
          <cell r="E30" t="str">
            <v>BAUAlloys</v>
          </cell>
          <cell r="F30">
            <v>0.20520000000000002</v>
          </cell>
          <cell r="G30">
            <v>0.18839999999999998</v>
          </cell>
          <cell r="H30">
            <v>0.18839999999999998</v>
          </cell>
          <cell r="I30">
            <v>0.18839999999999998</v>
          </cell>
          <cell r="J30">
            <v>0.18839999999999998</v>
          </cell>
          <cell r="K30">
            <v>0.18839999999999998</v>
          </cell>
          <cell r="L30">
            <v>0.13953599999999999</v>
          </cell>
          <cell r="M30">
            <v>0.13953599999999999</v>
          </cell>
          <cell r="N30">
            <v>0.13953599999999999</v>
          </cell>
          <cell r="O30">
            <v>0.13953599999999999</v>
          </cell>
          <cell r="P30">
            <v>0.13953599999999999</v>
          </cell>
          <cell r="Q30">
            <v>0.12312000000000001</v>
          </cell>
          <cell r="R30">
            <v>0.12312000000000001</v>
          </cell>
          <cell r="S30">
            <v>0.12312000000000001</v>
          </cell>
          <cell r="T30">
            <v>0.12312000000000001</v>
          </cell>
          <cell r="AO30" t="str">
            <v>DCS</v>
          </cell>
          <cell r="AP30">
            <v>0.17100000000000001</v>
          </cell>
          <cell r="AQ30">
            <v>0.157</v>
          </cell>
          <cell r="AR30">
            <v>0.10260000000000001</v>
          </cell>
          <cell r="AS30">
            <v>8.5500000000000007E-2</v>
          </cell>
        </row>
        <row r="31">
          <cell r="E31" t="str">
            <v>BAUPig iron (BF)</v>
          </cell>
          <cell r="F31">
            <v>1.3280000000000001</v>
          </cell>
          <cell r="G31">
            <v>1.288</v>
          </cell>
          <cell r="H31">
            <v>1.288</v>
          </cell>
          <cell r="I31">
            <v>1.288</v>
          </cell>
          <cell r="J31">
            <v>1.288</v>
          </cell>
          <cell r="K31">
            <v>1.288</v>
          </cell>
          <cell r="L31">
            <v>1.27488</v>
          </cell>
          <cell r="M31">
            <v>1.27488</v>
          </cell>
          <cell r="N31">
            <v>1.27488</v>
          </cell>
          <cell r="O31">
            <v>1.27488</v>
          </cell>
          <cell r="P31">
            <v>1.27488</v>
          </cell>
          <cell r="Q31">
            <v>1.2616000000000001</v>
          </cell>
          <cell r="R31">
            <v>1.2616000000000001</v>
          </cell>
          <cell r="S31">
            <v>1.2616000000000001</v>
          </cell>
          <cell r="T31">
            <v>1.2616000000000001</v>
          </cell>
          <cell r="AO31" t="str">
            <v>NES</v>
          </cell>
          <cell r="AP31">
            <v>0.17100000000000001</v>
          </cell>
          <cell r="AQ31">
            <v>0.157</v>
          </cell>
          <cell r="AR31">
            <v>8.5500000000000007E-2</v>
          </cell>
          <cell r="AS31">
            <v>6.4125000000000001E-2</v>
          </cell>
        </row>
        <row r="32">
          <cell r="E32" t="str">
            <v>BAUPig iron (smelting reduction)</v>
          </cell>
          <cell r="F32">
            <v>0.27360000000000001</v>
          </cell>
          <cell r="G32">
            <v>0.25120000000000003</v>
          </cell>
          <cell r="H32">
            <v>0.25120000000000003</v>
          </cell>
          <cell r="I32">
            <v>0.25120000000000003</v>
          </cell>
          <cell r="J32">
            <v>0.25120000000000003</v>
          </cell>
          <cell r="K32">
            <v>0.25120000000000003</v>
          </cell>
          <cell r="L32">
            <v>0.18604800000000002</v>
          </cell>
          <cell r="M32">
            <v>0.18604800000000002</v>
          </cell>
          <cell r="N32">
            <v>0.18604800000000002</v>
          </cell>
          <cell r="O32">
            <v>0.18604800000000002</v>
          </cell>
          <cell r="P32">
            <v>0.18604800000000002</v>
          </cell>
          <cell r="Q32">
            <v>0.16416000000000003</v>
          </cell>
          <cell r="R32">
            <v>0.16416000000000003</v>
          </cell>
          <cell r="S32">
            <v>0.16416000000000003</v>
          </cell>
          <cell r="T32">
            <v>0.16416000000000003</v>
          </cell>
          <cell r="AO32" t="str">
            <v>Alloys (ferromanganese, ferrochrome, and ferronickel)</v>
          </cell>
        </row>
        <row r="33">
          <cell r="E33" t="str">
            <v>BAUDRI</v>
          </cell>
          <cell r="F33">
            <v>0.27360000000000001</v>
          </cell>
          <cell r="G33">
            <v>0.25120000000000003</v>
          </cell>
          <cell r="H33">
            <v>0.25120000000000003</v>
          </cell>
          <cell r="I33">
            <v>0.25120000000000003</v>
          </cell>
          <cell r="J33">
            <v>0.25120000000000003</v>
          </cell>
          <cell r="K33">
            <v>0.25120000000000003</v>
          </cell>
          <cell r="L33">
            <v>0.18604800000000002</v>
          </cell>
          <cell r="M33">
            <v>0.18604800000000002</v>
          </cell>
          <cell r="N33">
            <v>0.18604800000000002</v>
          </cell>
          <cell r="O33">
            <v>0.18604800000000002</v>
          </cell>
          <cell r="P33">
            <v>0.18604800000000002</v>
          </cell>
          <cell r="Q33">
            <v>0.16416000000000003</v>
          </cell>
          <cell r="R33">
            <v>0.16416000000000003</v>
          </cell>
          <cell r="S33">
            <v>0.16416000000000003</v>
          </cell>
          <cell r="T33">
            <v>0.16416000000000003</v>
          </cell>
          <cell r="AN33" t="str">
            <v>合金（锰铁、铬铁和镍铁）</v>
          </cell>
          <cell r="AO33" t="str">
            <v>BAU</v>
          </cell>
          <cell r="AP33">
            <v>0.20520000000000002</v>
          </cell>
          <cell r="AQ33">
            <v>0.18839999999999998</v>
          </cell>
          <cell r="AR33">
            <v>0.13953599999999999</v>
          </cell>
          <cell r="AS33">
            <v>0.12312000000000001</v>
          </cell>
        </row>
        <row r="34">
          <cell r="E34" t="str">
            <v>BAUCrude steel (BOF route)</v>
          </cell>
          <cell r="F34">
            <v>1.6016000000000001</v>
          </cell>
          <cell r="G34">
            <v>1.5392000000000001</v>
          </cell>
          <cell r="H34">
            <v>1.5392000000000001</v>
          </cell>
          <cell r="I34">
            <v>1.5392000000000001</v>
          </cell>
          <cell r="J34">
            <v>1.5392000000000001</v>
          </cell>
          <cell r="K34">
            <v>1.5392000000000001</v>
          </cell>
          <cell r="L34">
            <v>1.460928</v>
          </cell>
          <cell r="M34">
            <v>1.460928</v>
          </cell>
          <cell r="N34">
            <v>1.460928</v>
          </cell>
          <cell r="O34">
            <v>1.460928</v>
          </cell>
          <cell r="P34">
            <v>1.460928</v>
          </cell>
          <cell r="Q34">
            <v>1.4257600000000001</v>
          </cell>
          <cell r="R34">
            <v>1.4257600000000001</v>
          </cell>
          <cell r="S34">
            <v>1.4257600000000001</v>
          </cell>
          <cell r="T34">
            <v>1.4257600000000001</v>
          </cell>
          <cell r="AO34" t="str">
            <v>DCS</v>
          </cell>
          <cell r="AP34">
            <v>0.20520000000000002</v>
          </cell>
          <cell r="AQ34">
            <v>0.18839999999999998</v>
          </cell>
          <cell r="AR34">
            <v>0.12312000000000001</v>
          </cell>
          <cell r="AS34">
            <v>0.10260000000000001</v>
          </cell>
        </row>
        <row r="35">
          <cell r="E35" t="str">
            <v>BAUCrude steel (EAF route)</v>
          </cell>
          <cell r="F35">
            <v>0.3175</v>
          </cell>
          <cell r="G35">
            <v>0.24149999999999999</v>
          </cell>
          <cell r="H35">
            <v>0.24149999999999999</v>
          </cell>
          <cell r="I35">
            <v>0.24149999999999999</v>
          </cell>
          <cell r="J35">
            <v>0.24149999999999999</v>
          </cell>
          <cell r="K35">
            <v>0.24149999999999999</v>
          </cell>
          <cell r="L35">
            <v>0.21589999999999998</v>
          </cell>
          <cell r="M35">
            <v>0.21589999999999998</v>
          </cell>
          <cell r="N35">
            <v>0.21589999999999998</v>
          </cell>
          <cell r="O35">
            <v>0.21589999999999998</v>
          </cell>
          <cell r="P35">
            <v>0.21589999999999998</v>
          </cell>
          <cell r="Q35">
            <v>0.1905</v>
          </cell>
          <cell r="R35">
            <v>0.1905</v>
          </cell>
          <cell r="S35">
            <v>0.1905</v>
          </cell>
          <cell r="T35">
            <v>0.1905</v>
          </cell>
          <cell r="AO35" t="str">
            <v>NES</v>
          </cell>
          <cell r="AP35">
            <v>0.20520000000000002</v>
          </cell>
          <cell r="AQ35">
            <v>0.18839999999999998</v>
          </cell>
          <cell r="AR35">
            <v>0.10260000000000001</v>
          </cell>
          <cell r="AS35">
            <v>7.6950000000000005E-2</v>
          </cell>
        </row>
        <row r="36">
          <cell r="E36" t="str">
            <v>BAUSteel (BF-BOF route)</v>
          </cell>
          <cell r="F36">
            <v>1.7825808000000001</v>
          </cell>
          <cell r="G36">
            <v>1.7131296</v>
          </cell>
          <cell r="H36">
            <v>1.7131296</v>
          </cell>
          <cell r="I36">
            <v>1.7131296</v>
          </cell>
          <cell r="J36">
            <v>1.7131296</v>
          </cell>
          <cell r="K36">
            <v>1.7131296</v>
          </cell>
          <cell r="L36">
            <v>1.626012864</v>
          </cell>
          <cell r="M36">
            <v>1.626012864</v>
          </cell>
          <cell r="N36">
            <v>1.626012864</v>
          </cell>
          <cell r="O36">
            <v>1.626012864</v>
          </cell>
          <cell r="P36">
            <v>1.626012864</v>
          </cell>
          <cell r="Q36">
            <v>1.5868708800000002</v>
          </cell>
          <cell r="R36">
            <v>1.5868708800000002</v>
          </cell>
          <cell r="S36">
            <v>1.5868708800000002</v>
          </cell>
          <cell r="T36">
            <v>1.5868708800000002</v>
          </cell>
          <cell r="AO36" t="str">
            <v>Pig iron - blast furnace route</v>
          </cell>
        </row>
        <row r="37">
          <cell r="E37" t="str">
            <v>BAUSteel (DRI-EAF route)</v>
          </cell>
          <cell r="F37">
            <v>0.59109999999999996</v>
          </cell>
          <cell r="G37">
            <v>0.49270000000000003</v>
          </cell>
          <cell r="H37">
            <v>0.49270000000000003</v>
          </cell>
          <cell r="I37">
            <v>0.49270000000000003</v>
          </cell>
          <cell r="J37">
            <v>0.49270000000000003</v>
          </cell>
          <cell r="K37">
            <v>0.49270000000000003</v>
          </cell>
          <cell r="L37">
            <v>0.40194799999999997</v>
          </cell>
          <cell r="M37">
            <v>0.40194799999999997</v>
          </cell>
          <cell r="N37">
            <v>0.40194799999999997</v>
          </cell>
          <cell r="O37">
            <v>0.40194799999999997</v>
          </cell>
          <cell r="P37">
            <v>0.40194799999999997</v>
          </cell>
          <cell r="Q37">
            <v>0.35466000000000003</v>
          </cell>
          <cell r="R37">
            <v>0.35466000000000003</v>
          </cell>
          <cell r="S37">
            <v>0.35466000000000003</v>
          </cell>
          <cell r="T37">
            <v>0.35466000000000003</v>
          </cell>
          <cell r="AN37" t="str">
            <v>生铁-高炉路线</v>
          </cell>
          <cell r="AO37" t="str">
            <v>BAU</v>
          </cell>
          <cell r="AP37">
            <v>1.3280000000000001</v>
          </cell>
          <cell r="AQ37">
            <v>1.288</v>
          </cell>
          <cell r="AR37">
            <v>1.27488</v>
          </cell>
          <cell r="AS37">
            <v>1.2616000000000001</v>
          </cell>
        </row>
        <row r="38">
          <cell r="E38" t="str">
            <v>BAUSteel (Scrap-EAF route)</v>
          </cell>
          <cell r="F38">
            <v>0.32500000000000001</v>
          </cell>
          <cell r="G38">
            <v>0.28199999999999997</v>
          </cell>
          <cell r="H38">
            <v>0.28199999999999997</v>
          </cell>
          <cell r="I38">
            <v>0.28199999999999997</v>
          </cell>
          <cell r="J38">
            <v>0.28199999999999997</v>
          </cell>
          <cell r="K38">
            <v>0.28199999999999997</v>
          </cell>
          <cell r="L38">
            <v>0.221</v>
          </cell>
          <cell r="M38">
            <v>0.221</v>
          </cell>
          <cell r="N38">
            <v>0.221</v>
          </cell>
          <cell r="O38">
            <v>0.221</v>
          </cell>
          <cell r="P38">
            <v>0.221</v>
          </cell>
          <cell r="Q38">
            <v>0.19500000000000001</v>
          </cell>
          <cell r="R38">
            <v>0.19500000000000001</v>
          </cell>
          <cell r="S38">
            <v>0.19500000000000001</v>
          </cell>
          <cell r="T38">
            <v>0.19500000000000001</v>
          </cell>
          <cell r="AO38" t="str">
            <v>DCS</v>
          </cell>
          <cell r="AP38">
            <v>1.3280000000000001</v>
          </cell>
          <cell r="AQ38">
            <v>1.288</v>
          </cell>
          <cell r="AR38">
            <v>1.2350400000000001</v>
          </cell>
          <cell r="AS38">
            <v>1.2118000000000002</v>
          </cell>
        </row>
        <row r="39">
          <cell r="AO39" t="str">
            <v>NES</v>
          </cell>
          <cell r="AP39">
            <v>1.3280000000000001</v>
          </cell>
          <cell r="AQ39">
            <v>1.288</v>
          </cell>
          <cell r="AR39">
            <v>1.1952</v>
          </cell>
          <cell r="AS39">
            <v>1.1620000000000001</v>
          </cell>
        </row>
        <row r="40">
          <cell r="E40" t="str">
            <v>DCSSintered ore</v>
          </cell>
          <cell r="F40">
            <v>0.17100000000000001</v>
          </cell>
          <cell r="G40">
            <v>0.157</v>
          </cell>
          <cell r="H40">
            <v>0.157</v>
          </cell>
          <cell r="I40">
            <v>0.157</v>
          </cell>
          <cell r="J40">
            <v>0.157</v>
          </cell>
          <cell r="K40">
            <v>0.157</v>
          </cell>
          <cell r="L40">
            <v>0.10260000000000001</v>
          </cell>
          <cell r="M40">
            <v>0.10260000000000001</v>
          </cell>
          <cell r="N40">
            <v>0.10260000000000001</v>
          </cell>
          <cell r="O40">
            <v>0.10260000000000001</v>
          </cell>
          <cell r="P40">
            <v>0.10260000000000001</v>
          </cell>
          <cell r="Q40">
            <v>8.5500000000000007E-2</v>
          </cell>
          <cell r="R40">
            <v>8.5500000000000007E-2</v>
          </cell>
          <cell r="S40">
            <v>8.5500000000000007E-2</v>
          </cell>
          <cell r="T40">
            <v>8.5500000000000007E-2</v>
          </cell>
          <cell r="AO40" t="str">
            <v>Pig iron - smelting reduction</v>
          </cell>
        </row>
        <row r="41">
          <cell r="E41" t="str">
            <v>DCSAlloys</v>
          </cell>
          <cell r="F41">
            <v>0.20520000000000002</v>
          </cell>
          <cell r="G41">
            <v>0.18839999999999998</v>
          </cell>
          <cell r="H41">
            <v>0.18839999999999998</v>
          </cell>
          <cell r="I41">
            <v>0.18839999999999998</v>
          </cell>
          <cell r="J41">
            <v>0.18839999999999998</v>
          </cell>
          <cell r="K41">
            <v>0.18839999999999998</v>
          </cell>
          <cell r="L41">
            <v>0.12312000000000001</v>
          </cell>
          <cell r="M41">
            <v>0.12312000000000001</v>
          </cell>
          <cell r="N41">
            <v>0.12312000000000001</v>
          </cell>
          <cell r="O41">
            <v>0.12312000000000001</v>
          </cell>
          <cell r="P41">
            <v>0.12312000000000001</v>
          </cell>
          <cell r="Q41">
            <v>0.10260000000000001</v>
          </cell>
          <cell r="R41">
            <v>0.10260000000000001</v>
          </cell>
          <cell r="S41">
            <v>0.10260000000000001</v>
          </cell>
          <cell r="T41">
            <v>0.10260000000000001</v>
          </cell>
          <cell r="AN41" t="str">
            <v>生铁-冶炼还原</v>
          </cell>
          <cell r="AO41" t="str">
            <v>BAU</v>
          </cell>
          <cell r="AP41">
            <v>0.27360000000000001</v>
          </cell>
          <cell r="AQ41">
            <v>0.25120000000000003</v>
          </cell>
          <cell r="AR41">
            <v>0.18604800000000002</v>
          </cell>
          <cell r="AS41">
            <v>0.16416000000000003</v>
          </cell>
        </row>
        <row r="42">
          <cell r="E42" t="str">
            <v>DCSPig iron (BF)</v>
          </cell>
          <cell r="F42">
            <v>1.3280000000000001</v>
          </cell>
          <cell r="G42">
            <v>1.288</v>
          </cell>
          <cell r="H42">
            <v>1.288</v>
          </cell>
          <cell r="I42">
            <v>1.288</v>
          </cell>
          <cell r="J42">
            <v>1.288</v>
          </cell>
          <cell r="K42">
            <v>1.288</v>
          </cell>
          <cell r="L42">
            <v>1.2350400000000001</v>
          </cell>
          <cell r="M42">
            <v>1.2350400000000001</v>
          </cell>
          <cell r="N42">
            <v>1.2350400000000001</v>
          </cell>
          <cell r="O42">
            <v>1.2350400000000001</v>
          </cell>
          <cell r="P42">
            <v>1.2350400000000001</v>
          </cell>
          <cell r="Q42">
            <v>1.2118000000000002</v>
          </cell>
          <cell r="R42">
            <v>1.2118000000000002</v>
          </cell>
          <cell r="S42">
            <v>1.2118000000000002</v>
          </cell>
          <cell r="T42">
            <v>1.2118000000000002</v>
          </cell>
          <cell r="AO42" t="str">
            <v>DCS</v>
          </cell>
          <cell r="AP42">
            <v>0.27360000000000001</v>
          </cell>
          <cell r="AQ42">
            <v>0.25120000000000003</v>
          </cell>
          <cell r="AR42">
            <v>0.16416000000000003</v>
          </cell>
          <cell r="AS42">
            <v>0.1368</v>
          </cell>
        </row>
        <row r="43">
          <cell r="E43" t="str">
            <v>DCSPig iron (smelting reduction)</v>
          </cell>
          <cell r="F43">
            <v>0.27360000000000001</v>
          </cell>
          <cell r="G43">
            <v>0.25120000000000003</v>
          </cell>
          <cell r="H43">
            <v>0.25120000000000003</v>
          </cell>
          <cell r="I43">
            <v>0.25120000000000003</v>
          </cell>
          <cell r="J43">
            <v>0.25120000000000003</v>
          </cell>
          <cell r="K43">
            <v>0.25120000000000003</v>
          </cell>
          <cell r="L43">
            <v>0.16416000000000003</v>
          </cell>
          <cell r="M43">
            <v>0.16416000000000003</v>
          </cell>
          <cell r="N43">
            <v>0.16416000000000003</v>
          </cell>
          <cell r="O43">
            <v>0.16416000000000003</v>
          </cell>
          <cell r="P43">
            <v>0.16416000000000003</v>
          </cell>
          <cell r="Q43">
            <v>0.1368</v>
          </cell>
          <cell r="R43">
            <v>0.1368</v>
          </cell>
          <cell r="S43">
            <v>0.1368</v>
          </cell>
          <cell r="T43">
            <v>0.1368</v>
          </cell>
          <cell r="AO43" t="str">
            <v>NES</v>
          </cell>
          <cell r="AP43">
            <v>0.27360000000000001</v>
          </cell>
          <cell r="AQ43">
            <v>0.25120000000000003</v>
          </cell>
          <cell r="AR43">
            <v>0.1368</v>
          </cell>
          <cell r="AS43">
            <v>0.10260000000000001</v>
          </cell>
        </row>
        <row r="44">
          <cell r="E44" t="str">
            <v>DCSDRI</v>
          </cell>
          <cell r="F44">
            <v>0.27360000000000001</v>
          </cell>
          <cell r="G44">
            <v>0.25120000000000003</v>
          </cell>
          <cell r="H44">
            <v>0.25120000000000003</v>
          </cell>
          <cell r="I44">
            <v>0.25120000000000003</v>
          </cell>
          <cell r="J44">
            <v>0.25120000000000003</v>
          </cell>
          <cell r="K44">
            <v>0.25120000000000003</v>
          </cell>
          <cell r="L44">
            <v>0.16416000000000003</v>
          </cell>
          <cell r="M44">
            <v>0.16416000000000003</v>
          </cell>
          <cell r="N44">
            <v>0.16416000000000003</v>
          </cell>
          <cell r="O44">
            <v>0.16416000000000003</v>
          </cell>
          <cell r="P44">
            <v>0.16416000000000003</v>
          </cell>
          <cell r="Q44">
            <v>0.1368</v>
          </cell>
          <cell r="R44">
            <v>0.1368</v>
          </cell>
          <cell r="S44">
            <v>0.1368</v>
          </cell>
          <cell r="T44">
            <v>0.1368</v>
          </cell>
          <cell r="AO44" t="str">
            <v>Direct reduced iron (DRI)</v>
          </cell>
        </row>
        <row r="45">
          <cell r="E45" t="str">
            <v>DCSCrude steel (BOF route)</v>
          </cell>
          <cell r="F45">
            <v>1.6016000000000001</v>
          </cell>
          <cell r="G45">
            <v>1.5392000000000001</v>
          </cell>
          <cell r="H45">
            <v>1.5392000000000001</v>
          </cell>
          <cell r="I45">
            <v>1.5392000000000001</v>
          </cell>
          <cell r="J45">
            <v>1.5392000000000001</v>
          </cell>
          <cell r="K45">
            <v>1.5392000000000001</v>
          </cell>
          <cell r="L45">
            <v>1.3992000000000002</v>
          </cell>
          <cell r="M45">
            <v>1.3992000000000002</v>
          </cell>
          <cell r="N45">
            <v>1.3992000000000002</v>
          </cell>
          <cell r="O45">
            <v>1.3992000000000002</v>
          </cell>
          <cell r="P45">
            <v>1.3992000000000002</v>
          </cell>
          <cell r="Q45">
            <v>1.3486000000000002</v>
          </cell>
          <cell r="R45">
            <v>1.3486000000000002</v>
          </cell>
          <cell r="S45">
            <v>1.3486000000000002</v>
          </cell>
          <cell r="T45">
            <v>1.3486000000000002</v>
          </cell>
          <cell r="AN45" t="str">
            <v>直接还原铁</v>
          </cell>
          <cell r="AO45" t="str">
            <v>BAU</v>
          </cell>
          <cell r="AP45">
            <v>0.27360000000000001</v>
          </cell>
          <cell r="AQ45">
            <v>0.25120000000000003</v>
          </cell>
          <cell r="AR45">
            <v>0.18604800000000002</v>
          </cell>
          <cell r="AS45">
            <v>0.16416000000000003</v>
          </cell>
        </row>
        <row r="46">
          <cell r="E46" t="str">
            <v>DCSCrude steel (EAF route)</v>
          </cell>
          <cell r="F46">
            <v>0.3175</v>
          </cell>
          <cell r="G46">
            <v>0.24149999999999999</v>
          </cell>
          <cell r="H46">
            <v>0.24149999999999999</v>
          </cell>
          <cell r="I46">
            <v>0.24149999999999999</v>
          </cell>
          <cell r="J46">
            <v>0.24149999999999999</v>
          </cell>
          <cell r="K46">
            <v>0.24149999999999999</v>
          </cell>
          <cell r="L46">
            <v>0.1905</v>
          </cell>
          <cell r="M46">
            <v>0.1905</v>
          </cell>
          <cell r="N46">
            <v>0.1905</v>
          </cell>
          <cell r="O46">
            <v>0.1905</v>
          </cell>
          <cell r="P46">
            <v>0.1905</v>
          </cell>
          <cell r="Q46">
            <v>0.15875</v>
          </cell>
          <cell r="R46">
            <v>0.15875</v>
          </cell>
          <cell r="S46">
            <v>0.15875</v>
          </cell>
          <cell r="T46">
            <v>0.15875</v>
          </cell>
          <cell r="AO46" t="str">
            <v>DCS</v>
          </cell>
          <cell r="AP46">
            <v>0.27360000000000001</v>
          </cell>
          <cell r="AQ46">
            <v>0.25120000000000003</v>
          </cell>
          <cell r="AR46">
            <v>0.16416000000000003</v>
          </cell>
          <cell r="AS46">
            <v>0.1368</v>
          </cell>
        </row>
        <row r="47">
          <cell r="E47" t="str">
            <v>DCSSteel (BF-BOF route)</v>
          </cell>
          <cell r="F47">
            <v>1.7825808000000001</v>
          </cell>
          <cell r="G47">
            <v>1.7131296</v>
          </cell>
          <cell r="H47">
            <v>1.7131296</v>
          </cell>
          <cell r="I47">
            <v>1.7131296</v>
          </cell>
          <cell r="J47">
            <v>1.7131296</v>
          </cell>
          <cell r="K47">
            <v>1.7131296</v>
          </cell>
          <cell r="L47">
            <v>1.5573096000000002</v>
          </cell>
          <cell r="M47">
            <v>1.5573096000000002</v>
          </cell>
          <cell r="N47">
            <v>1.5573096000000002</v>
          </cell>
          <cell r="O47">
            <v>1.5573096000000002</v>
          </cell>
          <cell r="P47">
            <v>1.5573096000000002</v>
          </cell>
          <cell r="Q47">
            <v>1.5009918000000002</v>
          </cell>
          <cell r="R47">
            <v>1.5009918000000002</v>
          </cell>
          <cell r="S47">
            <v>1.5009918000000002</v>
          </cell>
          <cell r="T47">
            <v>1.5009918000000002</v>
          </cell>
          <cell r="AO47" t="str">
            <v>NES</v>
          </cell>
          <cell r="AP47">
            <v>0.27360000000000001</v>
          </cell>
          <cell r="AQ47">
            <v>0.25120000000000003</v>
          </cell>
          <cell r="AR47">
            <v>0.1368</v>
          </cell>
          <cell r="AS47">
            <v>0.10260000000000001</v>
          </cell>
        </row>
        <row r="48">
          <cell r="E48" t="str">
            <v>DCSSteel (DRI-EAF route)</v>
          </cell>
          <cell r="F48">
            <v>0.59109999999999996</v>
          </cell>
          <cell r="G48">
            <v>0.49270000000000003</v>
          </cell>
          <cell r="H48">
            <v>0.49270000000000003</v>
          </cell>
          <cell r="I48">
            <v>0.49270000000000003</v>
          </cell>
          <cell r="J48">
            <v>0.49270000000000003</v>
          </cell>
          <cell r="K48">
            <v>0.49270000000000003</v>
          </cell>
          <cell r="L48">
            <v>0.35466000000000003</v>
          </cell>
          <cell r="M48">
            <v>0.35466000000000003</v>
          </cell>
          <cell r="N48">
            <v>0.35466000000000003</v>
          </cell>
          <cell r="O48">
            <v>0.35466000000000003</v>
          </cell>
          <cell r="P48">
            <v>0.35466000000000003</v>
          </cell>
          <cell r="Q48">
            <v>0.29554999999999998</v>
          </cell>
          <cell r="R48">
            <v>0.29554999999999998</v>
          </cell>
          <cell r="S48">
            <v>0.29554999999999998</v>
          </cell>
          <cell r="T48">
            <v>0.29554999999999998</v>
          </cell>
          <cell r="AO48" t="str">
            <v>Crude steel - basic oxygen furnace (BOF)</v>
          </cell>
        </row>
        <row r="49">
          <cell r="E49" t="str">
            <v>DCSSteel (Scrap-EAF route)</v>
          </cell>
          <cell r="F49">
            <v>0.32500000000000001</v>
          </cell>
          <cell r="G49">
            <v>0.28199999999999997</v>
          </cell>
          <cell r="H49">
            <v>0.28199999999999997</v>
          </cell>
          <cell r="I49">
            <v>0.28199999999999997</v>
          </cell>
          <cell r="J49">
            <v>0.28199999999999997</v>
          </cell>
          <cell r="K49">
            <v>0.28199999999999997</v>
          </cell>
          <cell r="L49">
            <v>0.19500000000000001</v>
          </cell>
          <cell r="M49">
            <v>0.19500000000000001</v>
          </cell>
          <cell r="N49">
            <v>0.19500000000000001</v>
          </cell>
          <cell r="O49">
            <v>0.19500000000000001</v>
          </cell>
          <cell r="P49">
            <v>0.19500000000000001</v>
          </cell>
          <cell r="Q49">
            <v>0.16250000000000001</v>
          </cell>
          <cell r="R49">
            <v>0.16250000000000001</v>
          </cell>
          <cell r="S49">
            <v>0.16250000000000001</v>
          </cell>
          <cell r="T49">
            <v>0.16250000000000001</v>
          </cell>
          <cell r="AN49" t="str">
            <v>粗钢-碱性氧气炼钢</v>
          </cell>
          <cell r="AO49" t="str">
            <v>BAU</v>
          </cell>
          <cell r="AP49">
            <v>1.6016000000000001</v>
          </cell>
          <cell r="AQ49">
            <v>1.5392000000000001</v>
          </cell>
          <cell r="AR49">
            <v>1.460928</v>
          </cell>
          <cell r="AS49">
            <v>1.4257600000000001</v>
          </cell>
        </row>
        <row r="50">
          <cell r="AO50" t="str">
            <v>DCS</v>
          </cell>
          <cell r="AP50">
            <v>1.6016000000000001</v>
          </cell>
          <cell r="AQ50">
            <v>1.5392000000000001</v>
          </cell>
          <cell r="AR50">
            <v>1.3992000000000002</v>
          </cell>
          <cell r="AS50">
            <v>1.3486000000000002</v>
          </cell>
        </row>
        <row r="51">
          <cell r="E51" t="str">
            <v>NESSintered ore</v>
          </cell>
          <cell r="F51">
            <v>0.17100000000000001</v>
          </cell>
          <cell r="G51">
            <v>0.157</v>
          </cell>
          <cell r="H51">
            <v>0.157</v>
          </cell>
          <cell r="I51">
            <v>0.157</v>
          </cell>
          <cell r="J51">
            <v>0.157</v>
          </cell>
          <cell r="K51">
            <v>0.157</v>
          </cell>
          <cell r="L51">
            <v>8.5500000000000007E-2</v>
          </cell>
          <cell r="M51">
            <v>8.5500000000000007E-2</v>
          </cell>
          <cell r="N51">
            <v>8.5500000000000007E-2</v>
          </cell>
          <cell r="O51">
            <v>8.5500000000000007E-2</v>
          </cell>
          <cell r="P51">
            <v>8.5500000000000007E-2</v>
          </cell>
          <cell r="Q51">
            <v>6.4125000000000001E-2</v>
          </cell>
          <cell r="R51">
            <v>6.4125000000000001E-2</v>
          </cell>
          <cell r="S51">
            <v>6.4125000000000001E-2</v>
          </cell>
          <cell r="T51">
            <v>6.4125000000000001E-2</v>
          </cell>
          <cell r="AO51" t="str">
            <v>NES</v>
          </cell>
          <cell r="AP51">
            <v>1.6016000000000001</v>
          </cell>
          <cell r="AQ51">
            <v>1.5392000000000001</v>
          </cell>
          <cell r="AR51">
            <v>1.3320000000000001</v>
          </cell>
          <cell r="AS51">
            <v>1.2646000000000002</v>
          </cell>
        </row>
        <row r="52">
          <cell r="E52" t="str">
            <v>NESAlloys</v>
          </cell>
          <cell r="F52">
            <v>0.20520000000000002</v>
          </cell>
          <cell r="G52">
            <v>0.18839999999999998</v>
          </cell>
          <cell r="H52">
            <v>0.18839999999999998</v>
          </cell>
          <cell r="I52">
            <v>0.18839999999999998</v>
          </cell>
          <cell r="J52">
            <v>0.18839999999999998</v>
          </cell>
          <cell r="K52">
            <v>0.18839999999999998</v>
          </cell>
          <cell r="L52">
            <v>0.10260000000000001</v>
          </cell>
          <cell r="M52">
            <v>0.10260000000000001</v>
          </cell>
          <cell r="N52">
            <v>0.10260000000000001</v>
          </cell>
          <cell r="O52">
            <v>0.10260000000000001</v>
          </cell>
          <cell r="P52">
            <v>0.10260000000000001</v>
          </cell>
          <cell r="Q52">
            <v>7.6950000000000005E-2</v>
          </cell>
          <cell r="R52">
            <v>7.6950000000000005E-2</v>
          </cell>
          <cell r="S52">
            <v>7.6950000000000005E-2</v>
          </cell>
          <cell r="T52">
            <v>7.6950000000000005E-2</v>
          </cell>
          <cell r="AO52" t="str">
            <v>Crude steel - electric arc furnace (EAF)</v>
          </cell>
        </row>
        <row r="53">
          <cell r="E53" t="str">
            <v>NESPig iron (BF)</v>
          </cell>
          <cell r="F53">
            <v>1.3280000000000001</v>
          </cell>
          <cell r="G53">
            <v>1.288</v>
          </cell>
          <cell r="H53">
            <v>1.288</v>
          </cell>
          <cell r="I53">
            <v>1.288</v>
          </cell>
          <cell r="J53">
            <v>1.288</v>
          </cell>
          <cell r="K53">
            <v>1.288</v>
          </cell>
          <cell r="L53">
            <v>1.1952</v>
          </cell>
          <cell r="M53">
            <v>1.1952</v>
          </cell>
          <cell r="N53">
            <v>1.1952</v>
          </cell>
          <cell r="O53">
            <v>1.1952</v>
          </cell>
          <cell r="P53">
            <v>1.1952</v>
          </cell>
          <cell r="Q53">
            <v>1.1620000000000001</v>
          </cell>
          <cell r="R53">
            <v>1.1620000000000001</v>
          </cell>
          <cell r="S53">
            <v>1.1620000000000001</v>
          </cell>
          <cell r="T53">
            <v>1.1620000000000001</v>
          </cell>
          <cell r="AN53" t="str">
            <v>粗钢-电弧炉</v>
          </cell>
          <cell r="AO53" t="str">
            <v>BAU</v>
          </cell>
          <cell r="AP53">
            <v>0.3175</v>
          </cell>
          <cell r="AQ53">
            <v>0.24149999999999999</v>
          </cell>
          <cell r="AR53">
            <v>0.21589999999999998</v>
          </cell>
          <cell r="AS53">
            <v>0.1905</v>
          </cell>
        </row>
        <row r="54">
          <cell r="E54" t="str">
            <v>NESPig iron (smelting reduction)</v>
          </cell>
          <cell r="F54">
            <v>0.27360000000000001</v>
          </cell>
          <cell r="G54">
            <v>0.25120000000000003</v>
          </cell>
          <cell r="H54">
            <v>0.25120000000000003</v>
          </cell>
          <cell r="I54">
            <v>0.25120000000000003</v>
          </cell>
          <cell r="J54">
            <v>0.25120000000000003</v>
          </cell>
          <cell r="K54">
            <v>0.25120000000000003</v>
          </cell>
          <cell r="L54">
            <v>0.1368</v>
          </cell>
          <cell r="M54">
            <v>0.1368</v>
          </cell>
          <cell r="N54">
            <v>0.1368</v>
          </cell>
          <cell r="O54">
            <v>0.1368</v>
          </cell>
          <cell r="P54">
            <v>0.1368</v>
          </cell>
          <cell r="Q54">
            <v>0.10260000000000001</v>
          </cell>
          <cell r="R54">
            <v>0.10260000000000001</v>
          </cell>
          <cell r="S54">
            <v>0.10260000000000001</v>
          </cell>
          <cell r="T54">
            <v>0.10260000000000001</v>
          </cell>
          <cell r="AO54" t="str">
            <v>DCS</v>
          </cell>
          <cell r="AP54">
            <v>0.3175</v>
          </cell>
          <cell r="AQ54">
            <v>0.24149999999999999</v>
          </cell>
          <cell r="AR54">
            <v>0.1905</v>
          </cell>
          <cell r="AS54">
            <v>0.15875</v>
          </cell>
        </row>
        <row r="55">
          <cell r="E55" t="str">
            <v>NESDRI</v>
          </cell>
          <cell r="F55">
            <v>0.27360000000000001</v>
          </cell>
          <cell r="G55">
            <v>0.25120000000000003</v>
          </cell>
          <cell r="H55">
            <v>0.25120000000000003</v>
          </cell>
          <cell r="I55">
            <v>0.25120000000000003</v>
          </cell>
          <cell r="J55">
            <v>0.25120000000000003</v>
          </cell>
          <cell r="K55">
            <v>0.25120000000000003</v>
          </cell>
          <cell r="L55">
            <v>0.1368</v>
          </cell>
          <cell r="M55">
            <v>0.1368</v>
          </cell>
          <cell r="N55">
            <v>0.1368</v>
          </cell>
          <cell r="O55">
            <v>0.1368</v>
          </cell>
          <cell r="P55">
            <v>0.1368</v>
          </cell>
          <cell r="Q55">
            <v>0.10260000000000001</v>
          </cell>
          <cell r="R55">
            <v>0.10260000000000001</v>
          </cell>
          <cell r="S55">
            <v>0.10260000000000001</v>
          </cell>
          <cell r="T55">
            <v>0.10260000000000001</v>
          </cell>
          <cell r="AO55" t="str">
            <v>NES</v>
          </cell>
          <cell r="AP55">
            <v>0.3175</v>
          </cell>
          <cell r="AQ55">
            <v>0.24149999999999999</v>
          </cell>
          <cell r="AR55">
            <v>0.15874999999999997</v>
          </cell>
          <cell r="AS55">
            <v>0.11906249999999997</v>
          </cell>
        </row>
        <row r="56">
          <cell r="E56" t="str">
            <v>NESCrude steel (BOF route)</v>
          </cell>
          <cell r="F56">
            <v>1.6016000000000001</v>
          </cell>
          <cell r="G56">
            <v>1.5392000000000001</v>
          </cell>
          <cell r="H56">
            <v>1.5392000000000001</v>
          </cell>
          <cell r="I56">
            <v>1.5392000000000001</v>
          </cell>
          <cell r="J56">
            <v>1.5392000000000001</v>
          </cell>
          <cell r="K56">
            <v>1.5392000000000001</v>
          </cell>
          <cell r="L56">
            <v>1.3320000000000001</v>
          </cell>
          <cell r="M56">
            <v>1.3320000000000001</v>
          </cell>
          <cell r="N56">
            <v>1.3320000000000001</v>
          </cell>
          <cell r="O56">
            <v>1.3320000000000001</v>
          </cell>
          <cell r="P56">
            <v>1.3320000000000001</v>
          </cell>
          <cell r="Q56">
            <v>1.2646000000000002</v>
          </cell>
          <cell r="R56">
            <v>1.2646000000000002</v>
          </cell>
          <cell r="S56">
            <v>1.2646000000000002</v>
          </cell>
          <cell r="T56">
            <v>1.2646000000000002</v>
          </cell>
          <cell r="AO56" t="str">
            <v>Iron and Steel - BF-BOF route</v>
          </cell>
        </row>
        <row r="57">
          <cell r="E57" t="str">
            <v>NESCrude steel (EAF route)</v>
          </cell>
          <cell r="F57">
            <v>0.3175</v>
          </cell>
          <cell r="G57">
            <v>0.24149999999999999</v>
          </cell>
          <cell r="H57">
            <v>0.24149999999999999</v>
          </cell>
          <cell r="I57">
            <v>0.24149999999999999</v>
          </cell>
          <cell r="J57">
            <v>0.24149999999999999</v>
          </cell>
          <cell r="K57">
            <v>0.24149999999999999</v>
          </cell>
          <cell r="L57">
            <v>0.15874999999999997</v>
          </cell>
          <cell r="M57">
            <v>0.15874999999999997</v>
          </cell>
          <cell r="N57">
            <v>0.15874999999999997</v>
          </cell>
          <cell r="O57">
            <v>0.15874999999999997</v>
          </cell>
          <cell r="P57">
            <v>0.15874999999999997</v>
          </cell>
          <cell r="Q57">
            <v>0.11906249999999997</v>
          </cell>
          <cell r="R57">
            <v>0.11906249999999997</v>
          </cell>
          <cell r="S57">
            <v>0.11906249999999997</v>
          </cell>
          <cell r="T57">
            <v>0.11906249999999997</v>
          </cell>
          <cell r="AN57" t="str">
            <v>钢铁产品-BF-BOF路线</v>
          </cell>
          <cell r="AO57" t="str">
            <v>BAU</v>
          </cell>
          <cell r="AP57">
            <v>1.7825808000000001</v>
          </cell>
          <cell r="AQ57">
            <v>1.7131296</v>
          </cell>
          <cell r="AR57">
            <v>1.626012864</v>
          </cell>
          <cell r="AS57">
            <v>1.5868708800000002</v>
          </cell>
        </row>
        <row r="58">
          <cell r="E58" t="str">
            <v>NESSteel (BF-BOF route)</v>
          </cell>
          <cell r="F58">
            <v>1.7825808000000001</v>
          </cell>
          <cell r="G58">
            <v>1.7131296</v>
          </cell>
          <cell r="H58">
            <v>1.7131296</v>
          </cell>
          <cell r="I58">
            <v>1.7131296</v>
          </cell>
          <cell r="J58">
            <v>1.7131296</v>
          </cell>
          <cell r="K58">
            <v>1.7131296</v>
          </cell>
          <cell r="L58">
            <v>1.4825160000000002</v>
          </cell>
          <cell r="M58">
            <v>1.4825160000000002</v>
          </cell>
          <cell r="N58">
            <v>1.4825160000000002</v>
          </cell>
          <cell r="O58">
            <v>1.4825160000000002</v>
          </cell>
          <cell r="P58">
            <v>1.4825160000000002</v>
          </cell>
          <cell r="Q58">
            <v>1.4074998000000001</v>
          </cell>
          <cell r="R58">
            <v>1.4074998000000001</v>
          </cell>
          <cell r="S58">
            <v>1.4074998000000001</v>
          </cell>
          <cell r="T58">
            <v>1.4074998000000001</v>
          </cell>
          <cell r="AO58" t="str">
            <v>DCS</v>
          </cell>
          <cell r="AP58">
            <v>1.7825808000000001</v>
          </cell>
          <cell r="AQ58">
            <v>1.7131296</v>
          </cell>
          <cell r="AR58">
            <v>1.5573096000000002</v>
          </cell>
          <cell r="AS58">
            <v>1.5009918000000002</v>
          </cell>
        </row>
        <row r="59">
          <cell r="E59" t="str">
            <v>NESSteel (DRI-EAF route)</v>
          </cell>
          <cell r="F59">
            <v>0.53920000000000001</v>
          </cell>
          <cell r="G59">
            <v>0.50880000000000003</v>
          </cell>
          <cell r="H59">
            <v>0.50880000000000003</v>
          </cell>
          <cell r="I59">
            <v>0.50880000000000003</v>
          </cell>
          <cell r="J59">
            <v>0.50880000000000003</v>
          </cell>
          <cell r="K59">
            <v>0.50880000000000003</v>
          </cell>
          <cell r="L59">
            <v>0.29554999999999998</v>
          </cell>
          <cell r="M59">
            <v>0.29554999999999998</v>
          </cell>
          <cell r="N59">
            <v>0.29554999999999998</v>
          </cell>
          <cell r="O59">
            <v>0.29554999999999998</v>
          </cell>
          <cell r="P59">
            <v>0.29554999999999998</v>
          </cell>
          <cell r="Q59">
            <v>0.22166249999999998</v>
          </cell>
          <cell r="R59">
            <v>0.22166249999999998</v>
          </cell>
          <cell r="S59">
            <v>0.22166249999999998</v>
          </cell>
          <cell r="T59">
            <v>0.22166249999999998</v>
          </cell>
          <cell r="AO59" t="str">
            <v>NES</v>
          </cell>
          <cell r="AP59">
            <v>1.7825808000000001</v>
          </cell>
          <cell r="AQ59">
            <v>1.7131296</v>
          </cell>
          <cell r="AR59">
            <v>1.4825160000000002</v>
          </cell>
          <cell r="AS59">
            <v>1.4074998000000001</v>
          </cell>
        </row>
        <row r="60">
          <cell r="E60" t="str">
            <v>NESSteel (Scrap-EAF route)</v>
          </cell>
          <cell r="F60">
            <v>0.32500000000000001</v>
          </cell>
          <cell r="G60">
            <v>0.28199999999999997</v>
          </cell>
          <cell r="H60">
            <v>0.28199999999999997</v>
          </cell>
          <cell r="I60">
            <v>0.28199999999999997</v>
          </cell>
          <cell r="J60">
            <v>0.28199999999999997</v>
          </cell>
          <cell r="K60">
            <v>0.28199999999999997</v>
          </cell>
          <cell r="L60">
            <v>0.16250000000000001</v>
          </cell>
          <cell r="M60">
            <v>0.16250000000000001</v>
          </cell>
          <cell r="N60">
            <v>0.16250000000000001</v>
          </cell>
          <cell r="O60">
            <v>0.16250000000000001</v>
          </cell>
          <cell r="P60">
            <v>0.16250000000000001</v>
          </cell>
          <cell r="Q60">
            <v>0.12187500000000001</v>
          </cell>
          <cell r="R60">
            <v>0.12187500000000001</v>
          </cell>
          <cell r="S60">
            <v>0.12187500000000001</v>
          </cell>
          <cell r="T60">
            <v>0.12187500000000001</v>
          </cell>
          <cell r="AO60" t="str">
            <v>Iron and Steel - DRI-EAF route</v>
          </cell>
        </row>
      </sheetData>
      <sheetData sheetId="26"/>
      <sheetData sheetId="27"/>
      <sheetData sheetId="28"/>
      <sheetData sheetId="29"/>
      <sheetData sheetId="30"/>
      <sheetData sheetId="31">
        <row r="50"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</row>
        <row r="51">
          <cell r="BU51">
            <v>0.35</v>
          </cell>
          <cell r="BV51">
            <v>0.15</v>
          </cell>
          <cell r="BW51">
            <v>0.67</v>
          </cell>
          <cell r="BX51">
            <v>0.61</v>
          </cell>
          <cell r="BY51">
            <v>0.56999999999999995</v>
          </cell>
          <cell r="BZ51">
            <v>0.52</v>
          </cell>
          <cell r="CA51">
            <v>0.48</v>
          </cell>
          <cell r="CB51">
            <v>0.44</v>
          </cell>
          <cell r="CC51">
            <v>0.4</v>
          </cell>
          <cell r="CD51">
            <v>0.36</v>
          </cell>
          <cell r="CE51">
            <v>0.32</v>
          </cell>
          <cell r="CF51">
            <v>0.28999999999999998</v>
          </cell>
          <cell r="CG51">
            <v>0.25</v>
          </cell>
          <cell r="CH51">
            <v>0.22</v>
          </cell>
          <cell r="CI51">
            <v>0.19</v>
          </cell>
          <cell r="CJ51">
            <v>0.15</v>
          </cell>
          <cell r="CK51">
            <v>0.12</v>
          </cell>
          <cell r="CL51">
            <v>0.09</v>
          </cell>
          <cell r="CM51">
            <v>0.06</v>
          </cell>
          <cell r="CN51">
            <v>0.04</v>
          </cell>
          <cell r="CO51">
            <v>0.01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</row>
        <row r="52">
          <cell r="BU52">
            <v>0</v>
          </cell>
          <cell r="BV52">
            <v>0.02</v>
          </cell>
          <cell r="BW52">
            <v>2.14</v>
          </cell>
          <cell r="BX52">
            <v>0.43</v>
          </cell>
          <cell r="BY52">
            <v>0.44</v>
          </cell>
          <cell r="BZ52">
            <v>0.44</v>
          </cell>
          <cell r="CA52">
            <v>0.45</v>
          </cell>
          <cell r="CB52">
            <v>0.45</v>
          </cell>
          <cell r="CC52">
            <v>0.46</v>
          </cell>
          <cell r="CD52">
            <v>0.46</v>
          </cell>
          <cell r="CE52">
            <v>0.46</v>
          </cell>
          <cell r="CF52">
            <v>0.47</v>
          </cell>
          <cell r="CG52">
            <v>0.47</v>
          </cell>
          <cell r="CH52">
            <v>0.47</v>
          </cell>
          <cell r="CI52">
            <v>0.48</v>
          </cell>
          <cell r="CJ52">
            <v>0.48</v>
          </cell>
          <cell r="CK52">
            <v>0.48</v>
          </cell>
          <cell r="CL52">
            <v>0.49</v>
          </cell>
          <cell r="CM52">
            <v>0.49</v>
          </cell>
          <cell r="CN52">
            <v>0.49</v>
          </cell>
          <cell r="CO52">
            <v>0.5</v>
          </cell>
          <cell r="CP52">
            <v>0.5</v>
          </cell>
          <cell r="CQ52">
            <v>0.5</v>
          </cell>
          <cell r="CR52">
            <v>0.51</v>
          </cell>
          <cell r="CS52">
            <v>0.51</v>
          </cell>
          <cell r="CT52">
            <v>0.51</v>
          </cell>
          <cell r="CU52">
            <v>0.51</v>
          </cell>
          <cell r="CV52">
            <v>0.52</v>
          </cell>
          <cell r="CW52">
            <v>0.52</v>
          </cell>
          <cell r="CX52">
            <v>0.52</v>
          </cell>
          <cell r="CY52">
            <v>0.52</v>
          </cell>
        </row>
        <row r="53">
          <cell r="BU53">
            <v>0.01</v>
          </cell>
          <cell r="BV53">
            <v>0</v>
          </cell>
          <cell r="BW53">
            <v>0</v>
          </cell>
          <cell r="BX53">
            <v>0.01</v>
          </cell>
          <cell r="BY53">
            <v>0.01</v>
          </cell>
          <cell r="BZ53">
            <v>0.01</v>
          </cell>
          <cell r="CA53">
            <v>0.01</v>
          </cell>
          <cell r="CB53">
            <v>0.01</v>
          </cell>
          <cell r="CC53">
            <v>0.01</v>
          </cell>
          <cell r="CD53">
            <v>0.01</v>
          </cell>
          <cell r="CE53">
            <v>0.01</v>
          </cell>
          <cell r="CF53">
            <v>0.01</v>
          </cell>
          <cell r="CG53">
            <v>0.01</v>
          </cell>
          <cell r="CH53">
            <v>0.01</v>
          </cell>
          <cell r="CI53">
            <v>0.01</v>
          </cell>
          <cell r="CJ53">
            <v>0.01</v>
          </cell>
          <cell r="CK53">
            <v>0.01</v>
          </cell>
          <cell r="CL53">
            <v>0.01</v>
          </cell>
          <cell r="CM53">
            <v>0.01</v>
          </cell>
          <cell r="CN53">
            <v>0.01</v>
          </cell>
          <cell r="CO53">
            <v>0.01</v>
          </cell>
          <cell r="CP53">
            <v>0.02</v>
          </cell>
          <cell r="CQ53">
            <v>0.02</v>
          </cell>
          <cell r="CR53">
            <v>0.02</v>
          </cell>
          <cell r="CS53">
            <v>0.02</v>
          </cell>
          <cell r="CT53">
            <v>0.02</v>
          </cell>
          <cell r="CU53">
            <v>0.02</v>
          </cell>
          <cell r="CV53">
            <v>0.02</v>
          </cell>
          <cell r="CW53">
            <v>0.02</v>
          </cell>
          <cell r="CX53">
            <v>0.02</v>
          </cell>
          <cell r="CY53">
            <v>0.02</v>
          </cell>
        </row>
        <row r="54">
          <cell r="BU54">
            <v>0.38</v>
          </cell>
          <cell r="BV54">
            <v>0.33999999999999997</v>
          </cell>
          <cell r="BW54">
            <v>4.09</v>
          </cell>
          <cell r="BX54">
            <v>1.07</v>
          </cell>
          <cell r="BY54">
            <v>1.08</v>
          </cell>
          <cell r="BZ54">
            <v>1.1099999999999999</v>
          </cell>
          <cell r="CA54">
            <v>1.1299999999999999</v>
          </cell>
          <cell r="CB54">
            <v>1.1400000000000001</v>
          </cell>
          <cell r="CC54">
            <v>1.1499999999999999</v>
          </cell>
          <cell r="CD54">
            <v>1.17</v>
          </cell>
          <cell r="CE54">
            <v>1.1800000000000002</v>
          </cell>
          <cell r="CF54">
            <v>1.2000000000000002</v>
          </cell>
          <cell r="CG54">
            <v>1.21</v>
          </cell>
          <cell r="CH54">
            <v>1.22</v>
          </cell>
          <cell r="CI54">
            <v>1.24</v>
          </cell>
          <cell r="CJ54">
            <v>1.25</v>
          </cell>
          <cell r="CK54">
            <v>1.26</v>
          </cell>
          <cell r="CL54">
            <v>1.27</v>
          </cell>
          <cell r="CM54">
            <v>1.28</v>
          </cell>
          <cell r="CN54">
            <v>1.3</v>
          </cell>
          <cell r="CO54">
            <v>1.31</v>
          </cell>
          <cell r="CP54">
            <v>1.32</v>
          </cell>
          <cell r="CQ54">
            <v>1.33</v>
          </cell>
          <cell r="CR54">
            <v>1.33</v>
          </cell>
          <cell r="CS54">
            <v>1.34</v>
          </cell>
          <cell r="CT54">
            <v>1.35</v>
          </cell>
          <cell r="CU54">
            <v>1.36</v>
          </cell>
          <cell r="CV54">
            <v>1.37</v>
          </cell>
          <cell r="CW54">
            <v>1.3900000000000001</v>
          </cell>
          <cell r="CX54">
            <v>1.4000000000000001</v>
          </cell>
          <cell r="CY54">
            <v>1.4100000000000001</v>
          </cell>
        </row>
        <row r="55">
          <cell r="BU55">
            <v>389.86</v>
          </cell>
          <cell r="BV55">
            <v>456.38</v>
          </cell>
          <cell r="BW55">
            <v>639.85</v>
          </cell>
          <cell r="BX55">
            <v>675.38000000000011</v>
          </cell>
          <cell r="BY55">
            <v>683.51</v>
          </cell>
          <cell r="BZ55">
            <v>691.30999999999983</v>
          </cell>
          <cell r="CA55">
            <v>698.81999999999994</v>
          </cell>
          <cell r="CB55">
            <v>706.05</v>
          </cell>
          <cell r="CC55">
            <v>712.99</v>
          </cell>
          <cell r="CD55">
            <v>719.78</v>
          </cell>
          <cell r="CE55">
            <v>726.27</v>
          </cell>
          <cell r="CF55">
            <v>732.61000000000013</v>
          </cell>
          <cell r="CG55">
            <v>738.74</v>
          </cell>
          <cell r="CH55">
            <v>744.66000000000008</v>
          </cell>
          <cell r="CI55">
            <v>750.45</v>
          </cell>
          <cell r="CJ55">
            <v>756.04000000000008</v>
          </cell>
          <cell r="CK55">
            <v>761.5</v>
          </cell>
          <cell r="CL55">
            <v>766.80000000000018</v>
          </cell>
          <cell r="CM55">
            <v>771.97</v>
          </cell>
          <cell r="CN55">
            <v>777.01</v>
          </cell>
          <cell r="CO55">
            <v>781.92</v>
          </cell>
          <cell r="CP55">
            <v>786.7</v>
          </cell>
          <cell r="CQ55">
            <v>791.39</v>
          </cell>
          <cell r="CR55">
            <v>795.98000000000013</v>
          </cell>
          <cell r="CS55">
            <v>800.44999999999982</v>
          </cell>
          <cell r="CT55">
            <v>804.80000000000007</v>
          </cell>
          <cell r="CU55">
            <v>809.13000000000011</v>
          </cell>
          <cell r="CV55">
            <v>813.27999999999986</v>
          </cell>
          <cell r="CW55">
            <v>817.38999999999987</v>
          </cell>
          <cell r="CX55">
            <v>821.39</v>
          </cell>
          <cell r="CY55">
            <v>825.32999999999993</v>
          </cell>
        </row>
      </sheetData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Set Schedules Here"/>
      <sheetName val="FoPITY-1"/>
      <sheetName val="FoPITY-1-WebApp"/>
      <sheetName val="FoPITY-policy-elements"/>
      <sheetName val="Exogenous GDP Adjustment"/>
    </sheetNames>
    <sheetDataSet>
      <sheetData sheetId="0" refreshError="1">
        <row r="88">
          <cell r="B88">
            <v>1.0249999999999999</v>
          </cell>
        </row>
        <row r="123">
          <cell r="A123">
            <v>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4A8A9-C86F-D048-B616-485E08342809}">
  <sheetPr codeName="Sheet18"/>
  <dimension ref="A1:AK91"/>
  <sheetViews>
    <sheetView tabSelected="1" zoomScale="115" zoomScaleNormal="80" workbookViewId="0">
      <pane ySplit="1" topLeftCell="A21" activePane="bottomLeft" state="frozen"/>
      <selection activeCell="AJ29" sqref="AJ29"/>
      <selection pane="bottomLeft" activeCell="B42" sqref="B42"/>
    </sheetView>
  </sheetViews>
  <sheetFormatPr baseColWidth="10" defaultColWidth="8.83203125" defaultRowHeight="14.25" customHeight="1"/>
  <cols>
    <col min="1" max="1" width="16.1640625" style="16" customWidth="1"/>
    <col min="2" max="2" width="36.83203125" style="5" customWidth="1"/>
    <col min="3" max="3" width="14" style="5" customWidth="1"/>
    <col min="4" max="4" width="27.83203125" style="5" bestFit="1" customWidth="1"/>
    <col min="5" max="5" width="14" style="5" customWidth="1"/>
    <col min="6" max="16384" width="8.83203125" style="5"/>
  </cols>
  <sheetData>
    <row r="1" spans="1:37" ht="19" thickBot="1">
      <c r="A1" s="1" t="s">
        <v>0</v>
      </c>
      <c r="B1" s="2" t="s">
        <v>1</v>
      </c>
      <c r="C1" s="3" t="s">
        <v>2</v>
      </c>
      <c r="D1" s="4" t="s">
        <v>3</v>
      </c>
      <c r="E1" s="4"/>
      <c r="F1" s="4">
        <v>2020</v>
      </c>
      <c r="G1" s="4">
        <v>2021</v>
      </c>
      <c r="H1" s="4">
        <v>2022</v>
      </c>
      <c r="I1" s="4">
        <v>2023</v>
      </c>
      <c r="J1" s="4">
        <v>2024</v>
      </c>
      <c r="K1" s="4">
        <v>2025</v>
      </c>
      <c r="L1" s="4">
        <v>2026</v>
      </c>
      <c r="M1" s="4">
        <v>2027</v>
      </c>
      <c r="N1" s="4">
        <v>2028</v>
      </c>
      <c r="O1" s="4">
        <v>2029</v>
      </c>
      <c r="P1" s="4">
        <v>2030</v>
      </c>
      <c r="Q1" s="4">
        <v>2031</v>
      </c>
      <c r="R1" s="4">
        <v>2032</v>
      </c>
      <c r="S1" s="4">
        <v>2033</v>
      </c>
      <c r="T1" s="4">
        <v>2034</v>
      </c>
      <c r="U1" s="4">
        <v>2035</v>
      </c>
      <c r="V1" s="4">
        <v>2036</v>
      </c>
      <c r="W1" s="4">
        <v>2037</v>
      </c>
      <c r="X1" s="4">
        <v>2038</v>
      </c>
      <c r="Y1" s="4">
        <v>2039</v>
      </c>
      <c r="Z1" s="4">
        <v>2040</v>
      </c>
      <c r="AA1" s="4">
        <v>2041</v>
      </c>
      <c r="AB1" s="4">
        <v>2042</v>
      </c>
      <c r="AC1" s="4">
        <v>2043</v>
      </c>
      <c r="AD1" s="4">
        <v>2044</v>
      </c>
      <c r="AE1" s="4">
        <v>2045</v>
      </c>
      <c r="AF1" s="4">
        <v>2046</v>
      </c>
      <c r="AG1" s="4">
        <v>2047</v>
      </c>
      <c r="AH1" s="4">
        <v>2048</v>
      </c>
      <c r="AI1" s="4">
        <v>2049</v>
      </c>
      <c r="AJ1" s="4">
        <v>2050</v>
      </c>
    </row>
    <row r="2" spans="1:37" ht="19" thickTop="1">
      <c r="A2" s="6" t="s">
        <v>4</v>
      </c>
      <c r="B2" s="7" t="s">
        <v>5</v>
      </c>
      <c r="C2" s="8" t="s">
        <v>3</v>
      </c>
      <c r="F2" s="8">
        <v>1</v>
      </c>
      <c r="G2" s="8">
        <v>2</v>
      </c>
      <c r="H2" s="8">
        <v>3</v>
      </c>
      <c r="I2" s="8">
        <v>4</v>
      </c>
      <c r="J2" s="8">
        <v>5</v>
      </c>
      <c r="K2" s="8">
        <v>6</v>
      </c>
      <c r="L2" s="8">
        <v>7</v>
      </c>
      <c r="M2" s="8">
        <v>8</v>
      </c>
      <c r="N2" s="8">
        <v>9</v>
      </c>
      <c r="O2" s="8">
        <v>10</v>
      </c>
      <c r="P2" s="8">
        <v>11</v>
      </c>
      <c r="Q2" s="8">
        <v>12</v>
      </c>
      <c r="R2" s="8">
        <v>13</v>
      </c>
      <c r="S2" s="8">
        <v>14</v>
      </c>
      <c r="T2" s="8">
        <v>15</v>
      </c>
      <c r="U2" s="8">
        <v>16</v>
      </c>
      <c r="V2" s="8">
        <v>17</v>
      </c>
      <c r="W2" s="8">
        <v>18</v>
      </c>
      <c r="X2" s="8">
        <v>19</v>
      </c>
      <c r="Y2" s="8">
        <v>20</v>
      </c>
      <c r="Z2" s="8">
        <v>21</v>
      </c>
      <c r="AA2" s="8">
        <v>22</v>
      </c>
      <c r="AB2" s="8">
        <v>23</v>
      </c>
      <c r="AC2" s="8">
        <v>24</v>
      </c>
      <c r="AD2" s="8">
        <v>25</v>
      </c>
      <c r="AE2" s="8">
        <v>26</v>
      </c>
      <c r="AF2" s="8">
        <v>27</v>
      </c>
      <c r="AG2" s="8">
        <v>28</v>
      </c>
      <c r="AH2" s="8">
        <v>29</v>
      </c>
      <c r="AI2" s="8">
        <v>30</v>
      </c>
      <c r="AJ2" s="8">
        <v>31</v>
      </c>
    </row>
    <row r="3" spans="1:37" ht="16" thickBot="1">
      <c r="A3" s="9" t="s">
        <v>6</v>
      </c>
      <c r="B3" s="9"/>
      <c r="C3" s="10" t="s">
        <v>7</v>
      </c>
      <c r="D3" s="10"/>
      <c r="E3" s="10"/>
      <c r="F3" s="10">
        <v>2020</v>
      </c>
      <c r="G3" s="10">
        <v>2021</v>
      </c>
      <c r="H3" s="10">
        <v>2022</v>
      </c>
      <c r="I3" s="10">
        <v>2023</v>
      </c>
      <c r="J3" s="10">
        <v>2024</v>
      </c>
      <c r="K3" s="10">
        <v>2025</v>
      </c>
      <c r="L3" s="10">
        <v>2026</v>
      </c>
      <c r="M3" s="10">
        <v>2027</v>
      </c>
      <c r="N3" s="10">
        <v>2028</v>
      </c>
      <c r="O3" s="10">
        <v>2029</v>
      </c>
      <c r="P3" s="10">
        <v>2030</v>
      </c>
      <c r="Q3" s="10">
        <v>2031</v>
      </c>
      <c r="R3" s="10">
        <v>2032</v>
      </c>
      <c r="S3" s="10">
        <v>2033</v>
      </c>
      <c r="T3" s="10">
        <v>2034</v>
      </c>
      <c r="U3" s="10">
        <v>2035</v>
      </c>
      <c r="V3" s="10">
        <v>2036</v>
      </c>
      <c r="W3" s="10">
        <v>2037</v>
      </c>
      <c r="X3" s="10">
        <v>2038</v>
      </c>
      <c r="Y3" s="10">
        <v>2039</v>
      </c>
      <c r="Z3" s="10">
        <v>2040</v>
      </c>
      <c r="AA3" s="10">
        <v>2041</v>
      </c>
      <c r="AB3" s="10">
        <v>2042</v>
      </c>
      <c r="AC3" s="10">
        <v>2043</v>
      </c>
      <c r="AD3" s="10">
        <v>2044</v>
      </c>
      <c r="AE3" s="10">
        <v>2045</v>
      </c>
      <c r="AF3" s="10">
        <v>2046</v>
      </c>
      <c r="AG3" s="10">
        <v>2047</v>
      </c>
      <c r="AH3" s="10">
        <v>2048</v>
      </c>
      <c r="AI3" s="10">
        <v>2049</v>
      </c>
      <c r="AJ3" s="10">
        <v>2050</v>
      </c>
    </row>
    <row r="4" spans="1:37" ht="16" thickTop="1" thickBot="1">
      <c r="A4" s="11"/>
      <c r="B4" s="12" t="s">
        <v>8</v>
      </c>
      <c r="C4" s="13" t="s">
        <v>9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14">
        <v>2.5000000000000001E-2</v>
      </c>
      <c r="M4" s="15">
        <v>0.05</v>
      </c>
      <c r="N4" s="15">
        <v>0.1</v>
      </c>
      <c r="O4" s="14">
        <v>0.22500000000000001</v>
      </c>
      <c r="P4" s="14">
        <v>0.48499999999999999</v>
      </c>
      <c r="Q4" s="15">
        <v>0.55000000000000004</v>
      </c>
      <c r="R4" s="14">
        <v>0.625</v>
      </c>
      <c r="S4" s="15">
        <v>0.8</v>
      </c>
      <c r="T4" s="15">
        <v>1</v>
      </c>
      <c r="U4" s="15">
        <v>1</v>
      </c>
      <c r="V4" s="15">
        <v>1</v>
      </c>
      <c r="W4" s="15">
        <v>1</v>
      </c>
      <c r="X4" s="15">
        <v>1</v>
      </c>
      <c r="Y4" s="15">
        <v>1</v>
      </c>
      <c r="Z4" s="15">
        <v>1</v>
      </c>
      <c r="AA4" s="15">
        <v>1</v>
      </c>
      <c r="AB4" s="15">
        <v>1</v>
      </c>
      <c r="AC4" s="15">
        <v>1</v>
      </c>
      <c r="AD4" s="15">
        <v>1</v>
      </c>
      <c r="AE4" s="15">
        <v>1</v>
      </c>
      <c r="AF4" s="15">
        <v>1</v>
      </c>
      <c r="AG4" s="15">
        <v>1</v>
      </c>
      <c r="AH4" s="15">
        <v>1</v>
      </c>
      <c r="AI4" s="15">
        <v>1</v>
      </c>
      <c r="AJ4" s="15">
        <v>1</v>
      </c>
    </row>
    <row r="5" spans="1:37" ht="16" thickTop="1" thickBot="1">
      <c r="C5" s="13" t="s">
        <v>10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</row>
    <row r="6" spans="1:37" ht="15" thickTop="1">
      <c r="B6" s="17"/>
      <c r="C6" s="17"/>
    </row>
    <row r="7" spans="1:37" ht="14">
      <c r="B7" s="18"/>
      <c r="C7" s="17"/>
    </row>
    <row r="8" spans="1:37" ht="14.25" customHeight="1">
      <c r="C8" s="17"/>
    </row>
    <row r="9" spans="1:37" ht="15" thickBot="1">
      <c r="B9" s="19" t="s">
        <v>11</v>
      </c>
      <c r="F9" s="10">
        <v>2020</v>
      </c>
      <c r="G9" s="10">
        <v>2021</v>
      </c>
      <c r="H9" s="10">
        <v>2022</v>
      </c>
      <c r="I9" s="10">
        <v>2023</v>
      </c>
      <c r="J9" s="10">
        <v>2024</v>
      </c>
      <c r="K9" s="10">
        <v>2025</v>
      </c>
      <c r="L9" s="10">
        <v>2026</v>
      </c>
      <c r="M9" s="10">
        <v>2027</v>
      </c>
      <c r="N9" s="10">
        <v>2028</v>
      </c>
      <c r="O9" s="10">
        <v>2029</v>
      </c>
      <c r="P9" s="10">
        <v>2030</v>
      </c>
      <c r="Q9" s="10">
        <v>2031</v>
      </c>
      <c r="R9" s="10">
        <v>2032</v>
      </c>
      <c r="S9" s="10">
        <v>2033</v>
      </c>
      <c r="T9" s="10">
        <v>2034</v>
      </c>
      <c r="U9" s="10">
        <v>2035</v>
      </c>
      <c r="V9" s="10">
        <v>2036</v>
      </c>
      <c r="W9" s="10">
        <v>2037</v>
      </c>
      <c r="X9" s="10">
        <v>2038</v>
      </c>
      <c r="Y9" s="10">
        <v>2039</v>
      </c>
      <c r="Z9" s="10">
        <v>2040</v>
      </c>
      <c r="AA9" s="10">
        <v>2041</v>
      </c>
      <c r="AB9" s="10">
        <v>2042</v>
      </c>
      <c r="AC9" s="10">
        <v>2043</v>
      </c>
      <c r="AD9" s="10">
        <v>2044</v>
      </c>
      <c r="AE9" s="10">
        <v>2045</v>
      </c>
      <c r="AF9" s="10">
        <v>2046</v>
      </c>
      <c r="AG9" s="10">
        <v>2047</v>
      </c>
      <c r="AH9" s="10">
        <v>2048</v>
      </c>
      <c r="AI9" s="10">
        <v>2049</v>
      </c>
      <c r="AJ9" s="10">
        <v>2050</v>
      </c>
    </row>
    <row r="10" spans="1:37" ht="16" thickTop="1" thickBot="1">
      <c r="A10" s="20"/>
      <c r="C10" s="21" t="s">
        <v>12</v>
      </c>
      <c r="D10" s="11" t="str">
        <f>[1]对照表!$B$2</f>
        <v>Sintered ore</v>
      </c>
      <c r="F10" s="11">
        <f>'[1]5.2 附表2000-2050EU27_Import_CHZ'!BU50</f>
        <v>0</v>
      </c>
      <c r="G10" s="11">
        <f>'[1]5.2 附表2000-2050EU27_Import_CHZ'!BV50</f>
        <v>0</v>
      </c>
      <c r="H10" s="11">
        <f>'[1]5.2 附表2000-2050EU27_Import_CHZ'!BW50</f>
        <v>0</v>
      </c>
      <c r="I10" s="11">
        <f>'[1]5.2 附表2000-2050EU27_Import_CHZ'!BX50</f>
        <v>0</v>
      </c>
      <c r="J10" s="11">
        <f>'[1]5.2 附表2000-2050EU27_Import_CHZ'!BY50</f>
        <v>0</v>
      </c>
      <c r="K10" s="11">
        <f>'[1]5.2 附表2000-2050EU27_Import_CHZ'!BZ50</f>
        <v>0</v>
      </c>
      <c r="L10" s="11">
        <f>'[1]5.2 附表2000-2050EU27_Import_CHZ'!CA50</f>
        <v>0</v>
      </c>
      <c r="M10" s="11">
        <f>'[1]5.2 附表2000-2050EU27_Import_CHZ'!CB50</f>
        <v>0</v>
      </c>
      <c r="N10" s="11">
        <f>'[1]5.2 附表2000-2050EU27_Import_CHZ'!CC50</f>
        <v>0</v>
      </c>
      <c r="O10" s="11">
        <f>'[1]5.2 附表2000-2050EU27_Import_CHZ'!CD50</f>
        <v>0</v>
      </c>
      <c r="P10" s="11">
        <f>'[1]5.2 附表2000-2050EU27_Import_CHZ'!CE50</f>
        <v>0</v>
      </c>
      <c r="Q10" s="11">
        <f>'[1]5.2 附表2000-2050EU27_Import_CHZ'!CF50</f>
        <v>0</v>
      </c>
      <c r="R10" s="11">
        <f>'[1]5.2 附表2000-2050EU27_Import_CHZ'!CG50</f>
        <v>0</v>
      </c>
      <c r="S10" s="11">
        <f>'[1]5.2 附表2000-2050EU27_Import_CHZ'!CH50</f>
        <v>0</v>
      </c>
      <c r="T10" s="11">
        <f>'[1]5.2 附表2000-2050EU27_Import_CHZ'!CI50</f>
        <v>0</v>
      </c>
      <c r="U10" s="11">
        <f>'[1]5.2 附表2000-2050EU27_Import_CHZ'!CJ50</f>
        <v>0</v>
      </c>
      <c r="V10" s="11">
        <f>'[1]5.2 附表2000-2050EU27_Import_CHZ'!CK50</f>
        <v>0</v>
      </c>
      <c r="W10" s="11">
        <f>'[1]5.2 附表2000-2050EU27_Import_CHZ'!CL50</f>
        <v>0</v>
      </c>
      <c r="X10" s="11">
        <f>'[1]5.2 附表2000-2050EU27_Import_CHZ'!CM50</f>
        <v>0</v>
      </c>
      <c r="Y10" s="11">
        <f>'[1]5.2 附表2000-2050EU27_Import_CHZ'!CN50</f>
        <v>0</v>
      </c>
      <c r="Z10" s="11">
        <f>'[1]5.2 附表2000-2050EU27_Import_CHZ'!CO50</f>
        <v>0</v>
      </c>
      <c r="AA10" s="11">
        <f>'[1]5.2 附表2000-2050EU27_Import_CHZ'!CP50</f>
        <v>0</v>
      </c>
      <c r="AB10" s="11">
        <f>'[1]5.2 附表2000-2050EU27_Import_CHZ'!CQ50</f>
        <v>0</v>
      </c>
      <c r="AC10" s="11">
        <f>'[1]5.2 附表2000-2050EU27_Import_CHZ'!CR50</f>
        <v>0</v>
      </c>
      <c r="AD10" s="11">
        <f>'[1]5.2 附表2000-2050EU27_Import_CHZ'!CS50</f>
        <v>0</v>
      </c>
      <c r="AE10" s="11">
        <f>'[1]5.2 附表2000-2050EU27_Import_CHZ'!CT50</f>
        <v>0</v>
      </c>
      <c r="AF10" s="11">
        <f>'[1]5.2 附表2000-2050EU27_Import_CHZ'!CU50</f>
        <v>0</v>
      </c>
      <c r="AG10" s="11">
        <f>'[1]5.2 附表2000-2050EU27_Import_CHZ'!CV50</f>
        <v>0</v>
      </c>
      <c r="AH10" s="11">
        <f>'[1]5.2 附表2000-2050EU27_Import_CHZ'!CW50</f>
        <v>0</v>
      </c>
      <c r="AI10" s="11">
        <f>'[1]5.2 附表2000-2050EU27_Import_CHZ'!CX50</f>
        <v>0</v>
      </c>
      <c r="AJ10" s="11">
        <f>'[1]5.2 附表2000-2050EU27_Import_CHZ'!CY50</f>
        <v>0</v>
      </c>
      <c r="AK10" s="22"/>
    </row>
    <row r="11" spans="1:37" ht="16" thickTop="1" thickBot="1">
      <c r="A11" s="23"/>
      <c r="C11" s="21" t="s">
        <v>12</v>
      </c>
      <c r="D11" s="11" t="str">
        <f>[1]对照表!$B$3</f>
        <v>Alloys</v>
      </c>
      <c r="F11" s="11">
        <f>'[1]5.2 附表2000-2050EU27_Import_CHZ'!BU51</f>
        <v>0.35</v>
      </c>
      <c r="G11" s="11">
        <f>'[1]5.2 附表2000-2050EU27_Import_CHZ'!BV51</f>
        <v>0.15</v>
      </c>
      <c r="H11" s="11">
        <f>'[1]5.2 附表2000-2050EU27_Import_CHZ'!BW51</f>
        <v>0.67</v>
      </c>
      <c r="I11" s="11">
        <f>'[1]5.2 附表2000-2050EU27_Import_CHZ'!BX51</f>
        <v>0.61</v>
      </c>
      <c r="J11" s="11">
        <f>'[1]5.2 附表2000-2050EU27_Import_CHZ'!BY51</f>
        <v>0.56999999999999995</v>
      </c>
      <c r="K11" s="11">
        <f>'[1]5.2 附表2000-2050EU27_Import_CHZ'!BZ51</f>
        <v>0.52</v>
      </c>
      <c r="L11" s="11">
        <f>'[1]5.2 附表2000-2050EU27_Import_CHZ'!CA51</f>
        <v>0.48</v>
      </c>
      <c r="M11" s="11">
        <f>'[1]5.2 附表2000-2050EU27_Import_CHZ'!CB51</f>
        <v>0.44</v>
      </c>
      <c r="N11" s="11">
        <f>'[1]5.2 附表2000-2050EU27_Import_CHZ'!CC51</f>
        <v>0.4</v>
      </c>
      <c r="O11" s="11">
        <f>'[1]5.2 附表2000-2050EU27_Import_CHZ'!CD51</f>
        <v>0.36</v>
      </c>
      <c r="P11" s="11">
        <f>'[1]5.2 附表2000-2050EU27_Import_CHZ'!CE51</f>
        <v>0.32</v>
      </c>
      <c r="Q11" s="11">
        <f>'[1]5.2 附表2000-2050EU27_Import_CHZ'!CF51</f>
        <v>0.28999999999999998</v>
      </c>
      <c r="R11" s="11">
        <f>'[1]5.2 附表2000-2050EU27_Import_CHZ'!CG51</f>
        <v>0.25</v>
      </c>
      <c r="S11" s="11">
        <f>'[1]5.2 附表2000-2050EU27_Import_CHZ'!CH51</f>
        <v>0.22</v>
      </c>
      <c r="T11" s="11">
        <f>'[1]5.2 附表2000-2050EU27_Import_CHZ'!CI51</f>
        <v>0.19</v>
      </c>
      <c r="U11" s="11">
        <f>'[1]5.2 附表2000-2050EU27_Import_CHZ'!CJ51</f>
        <v>0.15</v>
      </c>
      <c r="V11" s="11">
        <f>'[1]5.2 附表2000-2050EU27_Import_CHZ'!CK51</f>
        <v>0.12</v>
      </c>
      <c r="W11" s="11">
        <f>'[1]5.2 附表2000-2050EU27_Import_CHZ'!CL51</f>
        <v>0.09</v>
      </c>
      <c r="X11" s="11">
        <f>'[1]5.2 附表2000-2050EU27_Import_CHZ'!CM51</f>
        <v>0.06</v>
      </c>
      <c r="Y11" s="11">
        <f>'[1]5.2 附表2000-2050EU27_Import_CHZ'!CN51</f>
        <v>0.04</v>
      </c>
      <c r="Z11" s="11">
        <f>'[1]5.2 附表2000-2050EU27_Import_CHZ'!CO51</f>
        <v>0.01</v>
      </c>
      <c r="AA11" s="11">
        <f>'[1]5.2 附表2000-2050EU27_Import_CHZ'!CP51</f>
        <v>0</v>
      </c>
      <c r="AB11" s="11">
        <f>'[1]5.2 附表2000-2050EU27_Import_CHZ'!CQ51</f>
        <v>0</v>
      </c>
      <c r="AC11" s="11">
        <f>'[1]5.2 附表2000-2050EU27_Import_CHZ'!CR51</f>
        <v>0</v>
      </c>
      <c r="AD11" s="11">
        <f>'[1]5.2 附表2000-2050EU27_Import_CHZ'!CS51</f>
        <v>0</v>
      </c>
      <c r="AE11" s="11">
        <f>'[1]5.2 附表2000-2050EU27_Import_CHZ'!CT51</f>
        <v>0</v>
      </c>
      <c r="AF11" s="11">
        <f>'[1]5.2 附表2000-2050EU27_Import_CHZ'!CU51</f>
        <v>0</v>
      </c>
      <c r="AG11" s="11">
        <f>'[1]5.2 附表2000-2050EU27_Import_CHZ'!CV51</f>
        <v>0</v>
      </c>
      <c r="AH11" s="11">
        <f>'[1]5.2 附表2000-2050EU27_Import_CHZ'!CW51</f>
        <v>0</v>
      </c>
      <c r="AI11" s="11">
        <f>'[1]5.2 附表2000-2050EU27_Import_CHZ'!CX51</f>
        <v>0</v>
      </c>
      <c r="AJ11" s="11">
        <f>'[1]5.2 附表2000-2050EU27_Import_CHZ'!CY51</f>
        <v>0</v>
      </c>
      <c r="AK11" s="24"/>
    </row>
    <row r="12" spans="1:37" ht="16" thickTop="1" thickBot="1">
      <c r="A12" s="5"/>
      <c r="B12" s="25">
        <v>0.5</v>
      </c>
      <c r="C12" s="21" t="s">
        <v>12</v>
      </c>
      <c r="D12" s="11" t="str">
        <f>[1]对照表!$B$4</f>
        <v>Pig iron (BF)</v>
      </c>
      <c r="F12" s="11">
        <f>'[1]5.2 附表2000-2050EU27_Import_CHZ'!BU$52*'CBAM - Mechanism Rules'!$B$12</f>
        <v>0</v>
      </c>
      <c r="G12" s="26">
        <f>'[1]5.2 附表2000-2050EU27_Import_CHZ'!BV$52*'CBAM - Mechanism Rules'!$B$12</f>
        <v>0.01</v>
      </c>
      <c r="H12" s="26">
        <f>'[1]5.2 附表2000-2050EU27_Import_CHZ'!BW$52*'CBAM - Mechanism Rules'!$B$12</f>
        <v>1.07</v>
      </c>
      <c r="I12" s="26">
        <f>'[1]5.2 附表2000-2050EU27_Import_CHZ'!BX$52*'CBAM - Mechanism Rules'!$B$12</f>
        <v>0.215</v>
      </c>
      <c r="J12" s="26">
        <f>'[1]5.2 附表2000-2050EU27_Import_CHZ'!BY$52*'CBAM - Mechanism Rules'!$B$12</f>
        <v>0.22</v>
      </c>
      <c r="K12" s="26">
        <f>'[1]5.2 附表2000-2050EU27_Import_CHZ'!BZ$52*'CBAM - Mechanism Rules'!$B$12</f>
        <v>0.22</v>
      </c>
      <c r="L12" s="26">
        <f>'[1]5.2 附表2000-2050EU27_Import_CHZ'!CA$52*'CBAM - Mechanism Rules'!$B$12</f>
        <v>0.22500000000000001</v>
      </c>
      <c r="M12" s="26">
        <f>'[1]5.2 附表2000-2050EU27_Import_CHZ'!CB$52*'CBAM - Mechanism Rules'!$B$12</f>
        <v>0.22500000000000001</v>
      </c>
      <c r="N12" s="26">
        <f>'[1]5.2 附表2000-2050EU27_Import_CHZ'!CC$52*'CBAM - Mechanism Rules'!$B$12</f>
        <v>0.23</v>
      </c>
      <c r="O12" s="26">
        <f>'[1]5.2 附表2000-2050EU27_Import_CHZ'!CD$52*'CBAM - Mechanism Rules'!$B$12</f>
        <v>0.23</v>
      </c>
      <c r="P12" s="26">
        <f>'[1]5.2 附表2000-2050EU27_Import_CHZ'!CE$52*'CBAM - Mechanism Rules'!$B$12</f>
        <v>0.23</v>
      </c>
      <c r="Q12" s="26">
        <f>'[1]5.2 附表2000-2050EU27_Import_CHZ'!CF$52*'CBAM - Mechanism Rules'!$B$12</f>
        <v>0.23499999999999999</v>
      </c>
      <c r="R12" s="26">
        <f>'[1]5.2 附表2000-2050EU27_Import_CHZ'!CG$52*'CBAM - Mechanism Rules'!$B$12</f>
        <v>0.23499999999999999</v>
      </c>
      <c r="S12" s="26">
        <f>'[1]5.2 附表2000-2050EU27_Import_CHZ'!CH$52*'CBAM - Mechanism Rules'!$B$12</f>
        <v>0.23499999999999999</v>
      </c>
      <c r="T12" s="26">
        <f>'[1]5.2 附表2000-2050EU27_Import_CHZ'!CI$52*'CBAM - Mechanism Rules'!$B$12</f>
        <v>0.24</v>
      </c>
      <c r="U12" s="26">
        <f>'[1]5.2 附表2000-2050EU27_Import_CHZ'!CJ$52*'CBAM - Mechanism Rules'!$B$12</f>
        <v>0.24</v>
      </c>
      <c r="V12" s="26">
        <f>'[1]5.2 附表2000-2050EU27_Import_CHZ'!CK$52*'CBAM - Mechanism Rules'!$B$12</f>
        <v>0.24</v>
      </c>
      <c r="W12" s="26">
        <f>'[1]5.2 附表2000-2050EU27_Import_CHZ'!CL$52*'CBAM - Mechanism Rules'!$B$12</f>
        <v>0.245</v>
      </c>
      <c r="X12" s="26">
        <f>'[1]5.2 附表2000-2050EU27_Import_CHZ'!CM$52*'CBAM - Mechanism Rules'!$B$12</f>
        <v>0.245</v>
      </c>
      <c r="Y12" s="26">
        <f>'[1]5.2 附表2000-2050EU27_Import_CHZ'!CN$52*'CBAM - Mechanism Rules'!$B$12</f>
        <v>0.245</v>
      </c>
      <c r="Z12" s="26">
        <f>'[1]5.2 附表2000-2050EU27_Import_CHZ'!CO$52*'CBAM - Mechanism Rules'!$B$12</f>
        <v>0.25</v>
      </c>
      <c r="AA12" s="26">
        <f>'[1]5.2 附表2000-2050EU27_Import_CHZ'!CP$52*'CBAM - Mechanism Rules'!$B$12</f>
        <v>0.25</v>
      </c>
      <c r="AB12" s="26">
        <f>'[1]5.2 附表2000-2050EU27_Import_CHZ'!CQ$52*'CBAM - Mechanism Rules'!$B$12</f>
        <v>0.25</v>
      </c>
      <c r="AC12" s="26">
        <f>'[1]5.2 附表2000-2050EU27_Import_CHZ'!CR$52*'CBAM - Mechanism Rules'!$B$12</f>
        <v>0.255</v>
      </c>
      <c r="AD12" s="26">
        <f>'[1]5.2 附表2000-2050EU27_Import_CHZ'!CS$52*'CBAM - Mechanism Rules'!$B$12</f>
        <v>0.255</v>
      </c>
      <c r="AE12" s="26">
        <f>'[1]5.2 附表2000-2050EU27_Import_CHZ'!CT$52*'CBAM - Mechanism Rules'!$B$12</f>
        <v>0.255</v>
      </c>
      <c r="AF12" s="26">
        <f>'[1]5.2 附表2000-2050EU27_Import_CHZ'!CU$52*'CBAM - Mechanism Rules'!$B$12</f>
        <v>0.255</v>
      </c>
      <c r="AG12" s="26">
        <f>'[1]5.2 附表2000-2050EU27_Import_CHZ'!CV$52*'CBAM - Mechanism Rules'!$B$12</f>
        <v>0.26</v>
      </c>
      <c r="AH12" s="26">
        <f>'[1]5.2 附表2000-2050EU27_Import_CHZ'!CW$52*'CBAM - Mechanism Rules'!$B$12</f>
        <v>0.26</v>
      </c>
      <c r="AI12" s="26">
        <f>'[1]5.2 附表2000-2050EU27_Import_CHZ'!CX$52*'CBAM - Mechanism Rules'!$B$12</f>
        <v>0.26</v>
      </c>
      <c r="AJ12" s="26">
        <f>'[1]5.2 附表2000-2050EU27_Import_CHZ'!CY$52*'CBAM - Mechanism Rules'!$B$12</f>
        <v>0.26</v>
      </c>
      <c r="AK12" s="24"/>
    </row>
    <row r="13" spans="1:37" ht="16" thickTop="1" thickBot="1">
      <c r="A13" s="5"/>
      <c r="B13" s="25">
        <f>1-B12</f>
        <v>0.5</v>
      </c>
      <c r="C13" s="21" t="s">
        <v>12</v>
      </c>
      <c r="D13" s="11" t="str">
        <f>[1]对照表!$B$5</f>
        <v>Pig iron (smelting reduction)</v>
      </c>
      <c r="F13" s="11">
        <f>'[1]5.2 附表2000-2050EU27_Import_CHZ'!BU$52*'CBAM - Mechanism Rules'!$B$13</f>
        <v>0</v>
      </c>
      <c r="G13" s="26">
        <f>'[1]5.2 附表2000-2050EU27_Import_CHZ'!BV$52*'CBAM - Mechanism Rules'!$B$13</f>
        <v>0.01</v>
      </c>
      <c r="H13" s="26">
        <f>'[1]5.2 附表2000-2050EU27_Import_CHZ'!BW$52*'CBAM - Mechanism Rules'!$B$13</f>
        <v>1.07</v>
      </c>
      <c r="I13" s="26">
        <f>'[1]5.2 附表2000-2050EU27_Import_CHZ'!BX$52*'CBAM - Mechanism Rules'!$B$13</f>
        <v>0.215</v>
      </c>
      <c r="J13" s="26">
        <f>'[1]5.2 附表2000-2050EU27_Import_CHZ'!BY$52*'CBAM - Mechanism Rules'!$B$13</f>
        <v>0.22</v>
      </c>
      <c r="K13" s="26">
        <f>'[1]5.2 附表2000-2050EU27_Import_CHZ'!BZ$52*'CBAM - Mechanism Rules'!$B$13</f>
        <v>0.22</v>
      </c>
      <c r="L13" s="26">
        <f>'[1]5.2 附表2000-2050EU27_Import_CHZ'!CA$52*'CBAM - Mechanism Rules'!$B$13</f>
        <v>0.22500000000000001</v>
      </c>
      <c r="M13" s="26">
        <f>'[1]5.2 附表2000-2050EU27_Import_CHZ'!CB$52*'CBAM - Mechanism Rules'!$B$13</f>
        <v>0.22500000000000001</v>
      </c>
      <c r="N13" s="26">
        <f>'[1]5.2 附表2000-2050EU27_Import_CHZ'!CC$52*'CBAM - Mechanism Rules'!$B$13</f>
        <v>0.23</v>
      </c>
      <c r="O13" s="26">
        <f>'[1]5.2 附表2000-2050EU27_Import_CHZ'!CD$52*'CBAM - Mechanism Rules'!$B$13</f>
        <v>0.23</v>
      </c>
      <c r="P13" s="26">
        <f>'[1]5.2 附表2000-2050EU27_Import_CHZ'!CE$52*'CBAM - Mechanism Rules'!$B$13</f>
        <v>0.23</v>
      </c>
      <c r="Q13" s="26">
        <f>'[1]5.2 附表2000-2050EU27_Import_CHZ'!CF$52*'CBAM - Mechanism Rules'!$B$13</f>
        <v>0.23499999999999999</v>
      </c>
      <c r="R13" s="26">
        <f>'[1]5.2 附表2000-2050EU27_Import_CHZ'!CG$52*'CBAM - Mechanism Rules'!$B$13</f>
        <v>0.23499999999999999</v>
      </c>
      <c r="S13" s="26">
        <f>'[1]5.2 附表2000-2050EU27_Import_CHZ'!CH$52*'CBAM - Mechanism Rules'!$B$13</f>
        <v>0.23499999999999999</v>
      </c>
      <c r="T13" s="26">
        <f>'[1]5.2 附表2000-2050EU27_Import_CHZ'!CI$52*'CBAM - Mechanism Rules'!$B$13</f>
        <v>0.24</v>
      </c>
      <c r="U13" s="26">
        <f>'[1]5.2 附表2000-2050EU27_Import_CHZ'!CJ$52*'CBAM - Mechanism Rules'!$B$13</f>
        <v>0.24</v>
      </c>
      <c r="V13" s="26">
        <f>'[1]5.2 附表2000-2050EU27_Import_CHZ'!CK$52*'CBAM - Mechanism Rules'!$B$13</f>
        <v>0.24</v>
      </c>
      <c r="W13" s="26">
        <f>'[1]5.2 附表2000-2050EU27_Import_CHZ'!CL$52*'CBAM - Mechanism Rules'!$B$13</f>
        <v>0.245</v>
      </c>
      <c r="X13" s="26">
        <f>'[1]5.2 附表2000-2050EU27_Import_CHZ'!CM$52*'CBAM - Mechanism Rules'!$B$13</f>
        <v>0.245</v>
      </c>
      <c r="Y13" s="26">
        <f>'[1]5.2 附表2000-2050EU27_Import_CHZ'!CN$52*'CBAM - Mechanism Rules'!$B$13</f>
        <v>0.245</v>
      </c>
      <c r="Z13" s="26">
        <f>'[1]5.2 附表2000-2050EU27_Import_CHZ'!CO$52*'CBAM - Mechanism Rules'!$B$13</f>
        <v>0.25</v>
      </c>
      <c r="AA13" s="26">
        <f>'[1]5.2 附表2000-2050EU27_Import_CHZ'!CP$52*'CBAM - Mechanism Rules'!$B$13</f>
        <v>0.25</v>
      </c>
      <c r="AB13" s="26">
        <f>'[1]5.2 附表2000-2050EU27_Import_CHZ'!CQ$52*'CBAM - Mechanism Rules'!$B$13</f>
        <v>0.25</v>
      </c>
      <c r="AC13" s="26">
        <f>'[1]5.2 附表2000-2050EU27_Import_CHZ'!CR$52*'CBAM - Mechanism Rules'!$B$13</f>
        <v>0.255</v>
      </c>
      <c r="AD13" s="26">
        <f>'[1]5.2 附表2000-2050EU27_Import_CHZ'!CS$52*'CBAM - Mechanism Rules'!$B$13</f>
        <v>0.255</v>
      </c>
      <c r="AE13" s="26">
        <f>'[1]5.2 附表2000-2050EU27_Import_CHZ'!CT$52*'CBAM - Mechanism Rules'!$B$13</f>
        <v>0.255</v>
      </c>
      <c r="AF13" s="26">
        <f>'[1]5.2 附表2000-2050EU27_Import_CHZ'!CU$52*'CBAM - Mechanism Rules'!$B$13</f>
        <v>0.255</v>
      </c>
      <c r="AG13" s="26">
        <f>'[1]5.2 附表2000-2050EU27_Import_CHZ'!CV$52*'CBAM - Mechanism Rules'!$B$13</f>
        <v>0.26</v>
      </c>
      <c r="AH13" s="26">
        <f>'[1]5.2 附表2000-2050EU27_Import_CHZ'!CW$52*'CBAM - Mechanism Rules'!$B$13</f>
        <v>0.26</v>
      </c>
      <c r="AI13" s="26">
        <f>'[1]5.2 附表2000-2050EU27_Import_CHZ'!CX$52*'CBAM - Mechanism Rules'!$B$13</f>
        <v>0.26</v>
      </c>
      <c r="AJ13" s="26">
        <f>'[1]5.2 附表2000-2050EU27_Import_CHZ'!CY$52*'CBAM - Mechanism Rules'!$B$13</f>
        <v>0.26</v>
      </c>
      <c r="AK13" s="24"/>
    </row>
    <row r="14" spans="1:37" ht="16" thickTop="1" thickBot="1">
      <c r="A14" s="5"/>
      <c r="B14" s="20"/>
      <c r="C14" s="21" t="s">
        <v>12</v>
      </c>
      <c r="D14" s="11" t="str">
        <f>[1]对照表!$B$6</f>
        <v>DRI</v>
      </c>
      <c r="F14" s="11">
        <f>'[1]5.2 附表2000-2050EU27_Import_CHZ'!BU53</f>
        <v>0.01</v>
      </c>
      <c r="G14" s="11">
        <f>'[1]5.2 附表2000-2050EU27_Import_CHZ'!BV53</f>
        <v>0</v>
      </c>
      <c r="H14" s="11">
        <f>'[1]5.2 附表2000-2050EU27_Import_CHZ'!BW53</f>
        <v>0</v>
      </c>
      <c r="I14" s="11">
        <f>'[1]5.2 附表2000-2050EU27_Import_CHZ'!BX53</f>
        <v>0.01</v>
      </c>
      <c r="J14" s="11">
        <f>'[1]5.2 附表2000-2050EU27_Import_CHZ'!BY53</f>
        <v>0.01</v>
      </c>
      <c r="K14" s="11">
        <f>'[1]5.2 附表2000-2050EU27_Import_CHZ'!BZ53</f>
        <v>0.01</v>
      </c>
      <c r="L14" s="11">
        <f>'[1]5.2 附表2000-2050EU27_Import_CHZ'!CA53</f>
        <v>0.01</v>
      </c>
      <c r="M14" s="11">
        <f>'[1]5.2 附表2000-2050EU27_Import_CHZ'!CB53</f>
        <v>0.01</v>
      </c>
      <c r="N14" s="11">
        <f>'[1]5.2 附表2000-2050EU27_Import_CHZ'!CC53</f>
        <v>0.01</v>
      </c>
      <c r="O14" s="11">
        <f>'[1]5.2 附表2000-2050EU27_Import_CHZ'!CD53</f>
        <v>0.01</v>
      </c>
      <c r="P14" s="11">
        <f>'[1]5.2 附表2000-2050EU27_Import_CHZ'!CE53</f>
        <v>0.01</v>
      </c>
      <c r="Q14" s="11">
        <f>'[1]5.2 附表2000-2050EU27_Import_CHZ'!CF53</f>
        <v>0.01</v>
      </c>
      <c r="R14" s="11">
        <f>'[1]5.2 附表2000-2050EU27_Import_CHZ'!CG53</f>
        <v>0.01</v>
      </c>
      <c r="S14" s="11">
        <f>'[1]5.2 附表2000-2050EU27_Import_CHZ'!CH53</f>
        <v>0.01</v>
      </c>
      <c r="T14" s="11">
        <f>'[1]5.2 附表2000-2050EU27_Import_CHZ'!CI53</f>
        <v>0.01</v>
      </c>
      <c r="U14" s="11">
        <f>'[1]5.2 附表2000-2050EU27_Import_CHZ'!CJ53</f>
        <v>0.01</v>
      </c>
      <c r="V14" s="11">
        <f>'[1]5.2 附表2000-2050EU27_Import_CHZ'!CK53</f>
        <v>0.01</v>
      </c>
      <c r="W14" s="11">
        <f>'[1]5.2 附表2000-2050EU27_Import_CHZ'!CL53</f>
        <v>0.01</v>
      </c>
      <c r="X14" s="11">
        <f>'[1]5.2 附表2000-2050EU27_Import_CHZ'!CM53</f>
        <v>0.01</v>
      </c>
      <c r="Y14" s="11">
        <f>'[1]5.2 附表2000-2050EU27_Import_CHZ'!CN53</f>
        <v>0.01</v>
      </c>
      <c r="Z14" s="11">
        <f>'[1]5.2 附表2000-2050EU27_Import_CHZ'!CO53</f>
        <v>0.01</v>
      </c>
      <c r="AA14" s="11">
        <f>'[1]5.2 附表2000-2050EU27_Import_CHZ'!CP53</f>
        <v>0.02</v>
      </c>
      <c r="AB14" s="11">
        <f>'[1]5.2 附表2000-2050EU27_Import_CHZ'!CQ53</f>
        <v>0.02</v>
      </c>
      <c r="AC14" s="11">
        <f>'[1]5.2 附表2000-2050EU27_Import_CHZ'!CR53</f>
        <v>0.02</v>
      </c>
      <c r="AD14" s="11">
        <f>'[1]5.2 附表2000-2050EU27_Import_CHZ'!CS53</f>
        <v>0.02</v>
      </c>
      <c r="AE14" s="11">
        <f>'[1]5.2 附表2000-2050EU27_Import_CHZ'!CT53</f>
        <v>0.02</v>
      </c>
      <c r="AF14" s="11">
        <f>'[1]5.2 附表2000-2050EU27_Import_CHZ'!CU53</f>
        <v>0.02</v>
      </c>
      <c r="AG14" s="11">
        <f>'[1]5.2 附表2000-2050EU27_Import_CHZ'!CV53</f>
        <v>0.02</v>
      </c>
      <c r="AH14" s="11">
        <f>'[1]5.2 附表2000-2050EU27_Import_CHZ'!CW53</f>
        <v>0.02</v>
      </c>
      <c r="AI14" s="11">
        <f>'[1]5.2 附表2000-2050EU27_Import_CHZ'!CX53</f>
        <v>0.02</v>
      </c>
      <c r="AJ14" s="11">
        <f>'[1]5.2 附表2000-2050EU27_Import_CHZ'!CY53</f>
        <v>0.02</v>
      </c>
      <c r="AK14" s="24"/>
    </row>
    <row r="15" spans="1:37" ht="16" thickTop="1" thickBot="1">
      <c r="A15" s="5"/>
      <c r="B15" s="25">
        <v>0.5</v>
      </c>
      <c r="C15" s="21" t="s">
        <v>12</v>
      </c>
      <c r="D15" s="11" t="str">
        <f>[1]对照表!$B$7</f>
        <v>Crude steel (BOF route)</v>
      </c>
      <c r="F15" s="11">
        <f>'[1]5.2 附表2000-2050EU27_Import_CHZ'!BU$54*'CBAM - Mechanism Rules'!$B15</f>
        <v>0.19</v>
      </c>
      <c r="G15" s="11">
        <f>'[1]5.2 附表2000-2050EU27_Import_CHZ'!BV$54*'CBAM - Mechanism Rules'!$B15</f>
        <v>0.16999999999999998</v>
      </c>
      <c r="H15" s="26">
        <f>'[1]5.2 附表2000-2050EU27_Import_CHZ'!BW$54*'CBAM - Mechanism Rules'!$B15</f>
        <v>2.0449999999999999</v>
      </c>
      <c r="I15" s="26">
        <f>'[1]5.2 附表2000-2050EU27_Import_CHZ'!BX$54*'CBAM - Mechanism Rules'!$B15</f>
        <v>0.53500000000000003</v>
      </c>
      <c r="J15" s="26">
        <f>'[1]5.2 附表2000-2050EU27_Import_CHZ'!BY$54*'CBAM - Mechanism Rules'!$B15</f>
        <v>0.54</v>
      </c>
      <c r="K15" s="26">
        <f>'[1]5.2 附表2000-2050EU27_Import_CHZ'!BZ$54*'CBAM - Mechanism Rules'!$B15</f>
        <v>0.55499999999999994</v>
      </c>
      <c r="L15" s="26">
        <f>'[1]5.2 附表2000-2050EU27_Import_CHZ'!CA$54*'CBAM - Mechanism Rules'!$B15</f>
        <v>0.56499999999999995</v>
      </c>
      <c r="M15" s="26">
        <f>'[1]5.2 附表2000-2050EU27_Import_CHZ'!CB$54*'CBAM - Mechanism Rules'!$B15</f>
        <v>0.57000000000000006</v>
      </c>
      <c r="N15" s="26">
        <f>'[1]5.2 附表2000-2050EU27_Import_CHZ'!CC$54*'CBAM - Mechanism Rules'!$B15</f>
        <v>0.57499999999999996</v>
      </c>
      <c r="O15" s="26">
        <f>'[1]5.2 附表2000-2050EU27_Import_CHZ'!CD$54*'CBAM - Mechanism Rules'!$B15</f>
        <v>0.58499999999999996</v>
      </c>
      <c r="P15" s="26">
        <f>'[1]5.2 附表2000-2050EU27_Import_CHZ'!CE$54*'CBAM - Mechanism Rules'!$B15</f>
        <v>0.59000000000000008</v>
      </c>
      <c r="Q15" s="26">
        <f>'[1]5.2 附表2000-2050EU27_Import_CHZ'!CF$54*'CBAM - Mechanism Rules'!$B15</f>
        <v>0.60000000000000009</v>
      </c>
      <c r="R15" s="26">
        <f>'[1]5.2 附表2000-2050EU27_Import_CHZ'!CG$54*'CBAM - Mechanism Rules'!$B15</f>
        <v>0.60499999999999998</v>
      </c>
      <c r="S15" s="26">
        <f>'[1]5.2 附表2000-2050EU27_Import_CHZ'!CH$54*'CBAM - Mechanism Rules'!$B15</f>
        <v>0.61</v>
      </c>
      <c r="T15" s="26">
        <f>'[1]5.2 附表2000-2050EU27_Import_CHZ'!CI$54*'CBAM - Mechanism Rules'!$B15</f>
        <v>0.62</v>
      </c>
      <c r="U15" s="26">
        <f>'[1]5.2 附表2000-2050EU27_Import_CHZ'!CJ$54*'CBAM - Mechanism Rules'!$B15</f>
        <v>0.625</v>
      </c>
      <c r="V15" s="26">
        <f>'[1]5.2 附表2000-2050EU27_Import_CHZ'!CK$54*'CBAM - Mechanism Rules'!$B15</f>
        <v>0.63</v>
      </c>
      <c r="W15" s="26">
        <f>'[1]5.2 附表2000-2050EU27_Import_CHZ'!CL$54*'CBAM - Mechanism Rules'!$B15</f>
        <v>0.63500000000000001</v>
      </c>
      <c r="X15" s="26">
        <f>'[1]5.2 附表2000-2050EU27_Import_CHZ'!CM$54*'CBAM - Mechanism Rules'!$B15</f>
        <v>0.64</v>
      </c>
      <c r="Y15" s="26">
        <f>'[1]5.2 附表2000-2050EU27_Import_CHZ'!CN$54*'CBAM - Mechanism Rules'!$B15</f>
        <v>0.65</v>
      </c>
      <c r="Z15" s="26">
        <f>'[1]5.2 附表2000-2050EU27_Import_CHZ'!CO$54*'CBAM - Mechanism Rules'!$B15</f>
        <v>0.65500000000000003</v>
      </c>
      <c r="AA15" s="26">
        <f>'[1]5.2 附表2000-2050EU27_Import_CHZ'!CP$54*'CBAM - Mechanism Rules'!$B15</f>
        <v>0.66</v>
      </c>
      <c r="AB15" s="26">
        <f>'[1]5.2 附表2000-2050EU27_Import_CHZ'!CQ$54*'CBAM - Mechanism Rules'!$B15</f>
        <v>0.66500000000000004</v>
      </c>
      <c r="AC15" s="26">
        <f>'[1]5.2 附表2000-2050EU27_Import_CHZ'!CR$54*'CBAM - Mechanism Rules'!$B15</f>
        <v>0.66500000000000004</v>
      </c>
      <c r="AD15" s="26">
        <f>'[1]5.2 附表2000-2050EU27_Import_CHZ'!CS$54*'CBAM - Mechanism Rules'!$B15</f>
        <v>0.67</v>
      </c>
      <c r="AE15" s="26">
        <f>'[1]5.2 附表2000-2050EU27_Import_CHZ'!CT$54*'CBAM - Mechanism Rules'!$B15</f>
        <v>0.67500000000000004</v>
      </c>
      <c r="AF15" s="26">
        <f>'[1]5.2 附表2000-2050EU27_Import_CHZ'!CU$54*'CBAM - Mechanism Rules'!$B15</f>
        <v>0.68</v>
      </c>
      <c r="AG15" s="26">
        <f>'[1]5.2 附表2000-2050EU27_Import_CHZ'!CV$54*'CBAM - Mechanism Rules'!$B15</f>
        <v>0.68500000000000005</v>
      </c>
      <c r="AH15" s="26">
        <f>'[1]5.2 附表2000-2050EU27_Import_CHZ'!CW$54*'CBAM - Mechanism Rules'!$B15</f>
        <v>0.69500000000000006</v>
      </c>
      <c r="AI15" s="26">
        <f>'[1]5.2 附表2000-2050EU27_Import_CHZ'!CX$54*'CBAM - Mechanism Rules'!$B15</f>
        <v>0.70000000000000007</v>
      </c>
      <c r="AJ15" s="26">
        <f>'[1]5.2 附表2000-2050EU27_Import_CHZ'!CY$54*'CBAM - Mechanism Rules'!$B15</f>
        <v>0.70500000000000007</v>
      </c>
      <c r="AK15" s="24"/>
    </row>
    <row r="16" spans="1:37" ht="16" thickTop="1" thickBot="1">
      <c r="A16" s="5"/>
      <c r="B16" s="25">
        <f>1-B15</f>
        <v>0.5</v>
      </c>
      <c r="C16" s="21" t="s">
        <v>12</v>
      </c>
      <c r="D16" s="11" t="str">
        <f>[1]对照表!$B$8</f>
        <v>Crude steel (EAF route)</v>
      </c>
      <c r="F16" s="11">
        <f>'[1]5.2 附表2000-2050EU27_Import_CHZ'!BU$54*'CBAM - Mechanism Rules'!$B16</f>
        <v>0.19</v>
      </c>
      <c r="G16" s="11">
        <f>'[1]5.2 附表2000-2050EU27_Import_CHZ'!BV$54*'CBAM - Mechanism Rules'!$B16</f>
        <v>0.16999999999999998</v>
      </c>
      <c r="H16" s="26">
        <f>'[1]5.2 附表2000-2050EU27_Import_CHZ'!BW$54*'CBAM - Mechanism Rules'!$B16</f>
        <v>2.0449999999999999</v>
      </c>
      <c r="I16" s="26">
        <f>'[1]5.2 附表2000-2050EU27_Import_CHZ'!BX$54*'CBAM - Mechanism Rules'!$B16</f>
        <v>0.53500000000000003</v>
      </c>
      <c r="J16" s="26">
        <f>'[1]5.2 附表2000-2050EU27_Import_CHZ'!BY$54*'CBAM - Mechanism Rules'!$B16</f>
        <v>0.54</v>
      </c>
      <c r="K16" s="26">
        <f>'[1]5.2 附表2000-2050EU27_Import_CHZ'!BZ$54*'CBAM - Mechanism Rules'!$B16</f>
        <v>0.55499999999999994</v>
      </c>
      <c r="L16" s="26">
        <f>'[1]5.2 附表2000-2050EU27_Import_CHZ'!CA$54*'CBAM - Mechanism Rules'!$B16</f>
        <v>0.56499999999999995</v>
      </c>
      <c r="M16" s="26">
        <f>'[1]5.2 附表2000-2050EU27_Import_CHZ'!CB$54*'CBAM - Mechanism Rules'!$B16</f>
        <v>0.57000000000000006</v>
      </c>
      <c r="N16" s="26">
        <f>'[1]5.2 附表2000-2050EU27_Import_CHZ'!CC$54*'CBAM - Mechanism Rules'!$B16</f>
        <v>0.57499999999999996</v>
      </c>
      <c r="O16" s="26">
        <f>'[1]5.2 附表2000-2050EU27_Import_CHZ'!CD$54*'CBAM - Mechanism Rules'!$B16</f>
        <v>0.58499999999999996</v>
      </c>
      <c r="P16" s="26">
        <f>'[1]5.2 附表2000-2050EU27_Import_CHZ'!CE$54*'CBAM - Mechanism Rules'!$B16</f>
        <v>0.59000000000000008</v>
      </c>
      <c r="Q16" s="26">
        <f>'[1]5.2 附表2000-2050EU27_Import_CHZ'!CF$54*'CBAM - Mechanism Rules'!$B16</f>
        <v>0.60000000000000009</v>
      </c>
      <c r="R16" s="26">
        <f>'[1]5.2 附表2000-2050EU27_Import_CHZ'!CG$54*'CBAM - Mechanism Rules'!$B16</f>
        <v>0.60499999999999998</v>
      </c>
      <c r="S16" s="26">
        <f>'[1]5.2 附表2000-2050EU27_Import_CHZ'!CH$54*'CBAM - Mechanism Rules'!$B16</f>
        <v>0.61</v>
      </c>
      <c r="T16" s="26">
        <f>'[1]5.2 附表2000-2050EU27_Import_CHZ'!CI$54*'CBAM - Mechanism Rules'!$B16</f>
        <v>0.62</v>
      </c>
      <c r="U16" s="26">
        <f>'[1]5.2 附表2000-2050EU27_Import_CHZ'!CJ$54*'CBAM - Mechanism Rules'!$B16</f>
        <v>0.625</v>
      </c>
      <c r="V16" s="26">
        <f>'[1]5.2 附表2000-2050EU27_Import_CHZ'!CK$54*'CBAM - Mechanism Rules'!$B16</f>
        <v>0.63</v>
      </c>
      <c r="W16" s="26">
        <f>'[1]5.2 附表2000-2050EU27_Import_CHZ'!CL$54*'CBAM - Mechanism Rules'!$B16</f>
        <v>0.63500000000000001</v>
      </c>
      <c r="X16" s="26">
        <f>'[1]5.2 附表2000-2050EU27_Import_CHZ'!CM$54*'CBAM - Mechanism Rules'!$B16</f>
        <v>0.64</v>
      </c>
      <c r="Y16" s="26">
        <f>'[1]5.2 附表2000-2050EU27_Import_CHZ'!CN$54*'CBAM - Mechanism Rules'!$B16</f>
        <v>0.65</v>
      </c>
      <c r="Z16" s="26">
        <f>'[1]5.2 附表2000-2050EU27_Import_CHZ'!CO$54*'CBAM - Mechanism Rules'!$B16</f>
        <v>0.65500000000000003</v>
      </c>
      <c r="AA16" s="26">
        <f>'[1]5.2 附表2000-2050EU27_Import_CHZ'!CP$54*'CBAM - Mechanism Rules'!$B16</f>
        <v>0.66</v>
      </c>
      <c r="AB16" s="26">
        <f>'[1]5.2 附表2000-2050EU27_Import_CHZ'!CQ$54*'CBAM - Mechanism Rules'!$B16</f>
        <v>0.66500000000000004</v>
      </c>
      <c r="AC16" s="26">
        <f>'[1]5.2 附表2000-2050EU27_Import_CHZ'!CR$54*'CBAM - Mechanism Rules'!$B16</f>
        <v>0.66500000000000004</v>
      </c>
      <c r="AD16" s="26">
        <f>'[1]5.2 附表2000-2050EU27_Import_CHZ'!CS$54*'CBAM - Mechanism Rules'!$B16</f>
        <v>0.67</v>
      </c>
      <c r="AE16" s="26">
        <f>'[1]5.2 附表2000-2050EU27_Import_CHZ'!CT$54*'CBAM - Mechanism Rules'!$B16</f>
        <v>0.67500000000000004</v>
      </c>
      <c r="AF16" s="26">
        <f>'[1]5.2 附表2000-2050EU27_Import_CHZ'!CU$54*'CBAM - Mechanism Rules'!$B16</f>
        <v>0.68</v>
      </c>
      <c r="AG16" s="26">
        <f>'[1]5.2 附表2000-2050EU27_Import_CHZ'!CV$54*'CBAM - Mechanism Rules'!$B16</f>
        <v>0.68500000000000005</v>
      </c>
      <c r="AH16" s="26">
        <f>'[1]5.2 附表2000-2050EU27_Import_CHZ'!CW$54*'CBAM - Mechanism Rules'!$B16</f>
        <v>0.69500000000000006</v>
      </c>
      <c r="AI16" s="26">
        <f>'[1]5.2 附表2000-2050EU27_Import_CHZ'!CX$54*'CBAM - Mechanism Rules'!$B16</f>
        <v>0.70000000000000007</v>
      </c>
      <c r="AJ16" s="26">
        <f>'[1]5.2 附表2000-2050EU27_Import_CHZ'!CY$54*'CBAM - Mechanism Rules'!$B16</f>
        <v>0.70500000000000007</v>
      </c>
      <c r="AK16" s="24"/>
    </row>
    <row r="17" spans="1:37" ht="16" thickTop="1" thickBot="1">
      <c r="A17" s="5"/>
      <c r="B17" s="25">
        <f>('[1]5.3.1 钢铁行业参数数据库'!F141+'[1]5.3.1 钢铁行业参数数据库'!F142)/'[1]5.3.1 钢铁行业参数数据库'!F146</f>
        <v>0.9</v>
      </c>
      <c r="C17" s="21" t="s">
        <v>12</v>
      </c>
      <c r="D17" s="11" t="str">
        <f>[1]对照表!$B$9</f>
        <v>Steel (BF-BOF route)</v>
      </c>
      <c r="F17" s="26">
        <f>'[1]5.2 附表2000-2050EU27_Import_CHZ'!BU$55*'CBAM - Mechanism Rules'!$B17</f>
        <v>350.87400000000002</v>
      </c>
      <c r="G17" s="26">
        <f>'[1]5.2 附表2000-2050EU27_Import_CHZ'!BV$55*'CBAM - Mechanism Rules'!$B17</f>
        <v>410.74200000000002</v>
      </c>
      <c r="H17" s="26">
        <f>'[1]5.2 附表2000-2050EU27_Import_CHZ'!BW$55*'CBAM - Mechanism Rules'!$B17</f>
        <v>575.86500000000001</v>
      </c>
      <c r="I17" s="26">
        <f>'[1]5.2 附表2000-2050EU27_Import_CHZ'!BX$55*'CBAM - Mechanism Rules'!$B17</f>
        <v>607.8420000000001</v>
      </c>
      <c r="J17" s="26">
        <f>'[1]5.2 附表2000-2050EU27_Import_CHZ'!BY$55*'CBAM - Mechanism Rules'!$B17</f>
        <v>615.15899999999999</v>
      </c>
      <c r="K17" s="26">
        <f>'[1]5.2 附表2000-2050EU27_Import_CHZ'!BZ$55*'CBAM - Mechanism Rules'!$B17</f>
        <v>622.17899999999986</v>
      </c>
      <c r="L17" s="26">
        <f>'[1]5.2 附表2000-2050EU27_Import_CHZ'!CA$55*'CBAM - Mechanism Rules'!$B17</f>
        <v>628.93799999999999</v>
      </c>
      <c r="M17" s="26">
        <f>'[1]5.2 附表2000-2050EU27_Import_CHZ'!CB$55*'CBAM - Mechanism Rules'!$B17</f>
        <v>635.44499999999994</v>
      </c>
      <c r="N17" s="26">
        <f>'[1]5.2 附表2000-2050EU27_Import_CHZ'!CC$55*'CBAM - Mechanism Rules'!$B17</f>
        <v>641.69100000000003</v>
      </c>
      <c r="O17" s="26">
        <f>'[1]5.2 附表2000-2050EU27_Import_CHZ'!CD$55*'CBAM - Mechanism Rules'!$B17</f>
        <v>647.80200000000002</v>
      </c>
      <c r="P17" s="26">
        <f>'[1]5.2 附表2000-2050EU27_Import_CHZ'!CE$55*'CBAM - Mechanism Rules'!$B17</f>
        <v>653.64300000000003</v>
      </c>
      <c r="Q17" s="26">
        <f>'[1]5.2 附表2000-2050EU27_Import_CHZ'!CF$55*'CBAM - Mechanism Rules'!$B17</f>
        <v>659.34900000000016</v>
      </c>
      <c r="R17" s="26">
        <f>'[1]5.2 附表2000-2050EU27_Import_CHZ'!CG$55*'CBAM - Mechanism Rules'!$B17</f>
        <v>664.86599999999999</v>
      </c>
      <c r="S17" s="26">
        <f>'[1]5.2 附表2000-2050EU27_Import_CHZ'!CH$55*'CBAM - Mechanism Rules'!$B17</f>
        <v>670.19400000000007</v>
      </c>
      <c r="T17" s="26">
        <f>'[1]5.2 附表2000-2050EU27_Import_CHZ'!CI$55*'CBAM - Mechanism Rules'!$B17</f>
        <v>675.40500000000009</v>
      </c>
      <c r="U17" s="26">
        <f>'[1]5.2 附表2000-2050EU27_Import_CHZ'!CJ$55*'CBAM - Mechanism Rules'!$B17</f>
        <v>680.43600000000004</v>
      </c>
      <c r="V17" s="26">
        <f>'[1]5.2 附表2000-2050EU27_Import_CHZ'!CK$55*'CBAM - Mechanism Rules'!$B17</f>
        <v>685.35</v>
      </c>
      <c r="W17" s="26">
        <f>'[1]5.2 附表2000-2050EU27_Import_CHZ'!CL$55*'CBAM - Mechanism Rules'!$B17</f>
        <v>690.12000000000023</v>
      </c>
      <c r="X17" s="26">
        <f>'[1]5.2 附表2000-2050EU27_Import_CHZ'!CM$55*'CBAM - Mechanism Rules'!$B17</f>
        <v>694.77300000000002</v>
      </c>
      <c r="Y17" s="26">
        <f>'[1]5.2 附表2000-2050EU27_Import_CHZ'!CN$55*'CBAM - Mechanism Rules'!$B17</f>
        <v>699.30899999999997</v>
      </c>
      <c r="Z17" s="26">
        <f>'[1]5.2 附表2000-2050EU27_Import_CHZ'!CO$55*'CBAM - Mechanism Rules'!$B17</f>
        <v>703.72799999999995</v>
      </c>
      <c r="AA17" s="26">
        <f>'[1]5.2 附表2000-2050EU27_Import_CHZ'!CP$55*'CBAM - Mechanism Rules'!$B17</f>
        <v>708.03000000000009</v>
      </c>
      <c r="AB17" s="26">
        <f>'[1]5.2 附表2000-2050EU27_Import_CHZ'!CQ$55*'CBAM - Mechanism Rules'!$B17</f>
        <v>712.25099999999998</v>
      </c>
      <c r="AC17" s="26">
        <f>'[1]5.2 附表2000-2050EU27_Import_CHZ'!CR$55*'CBAM - Mechanism Rules'!$B17</f>
        <v>716.38200000000018</v>
      </c>
      <c r="AD17" s="26">
        <f>'[1]5.2 附表2000-2050EU27_Import_CHZ'!CS$55*'CBAM - Mechanism Rules'!$B17</f>
        <v>720.40499999999986</v>
      </c>
      <c r="AE17" s="26">
        <f>'[1]5.2 附表2000-2050EU27_Import_CHZ'!CT$55*'CBAM - Mechanism Rules'!$B17</f>
        <v>724.32</v>
      </c>
      <c r="AF17" s="26">
        <f>'[1]5.2 附表2000-2050EU27_Import_CHZ'!CU$55*'CBAM - Mechanism Rules'!$B17</f>
        <v>728.2170000000001</v>
      </c>
      <c r="AG17" s="26">
        <f>'[1]5.2 附表2000-2050EU27_Import_CHZ'!CV$55*'CBAM - Mechanism Rules'!$B17</f>
        <v>731.95199999999988</v>
      </c>
      <c r="AH17" s="26">
        <f>'[1]5.2 附表2000-2050EU27_Import_CHZ'!CW$55*'CBAM - Mechanism Rules'!$B17</f>
        <v>735.65099999999995</v>
      </c>
      <c r="AI17" s="26">
        <f>'[1]5.2 附表2000-2050EU27_Import_CHZ'!CX$55*'CBAM - Mechanism Rules'!$B17</f>
        <v>739.25099999999998</v>
      </c>
      <c r="AJ17" s="26">
        <f>'[1]5.2 附表2000-2050EU27_Import_CHZ'!CY$55*'CBAM - Mechanism Rules'!$B17</f>
        <v>742.79699999999991</v>
      </c>
      <c r="AK17" s="24"/>
    </row>
    <row r="18" spans="1:37" ht="16" thickTop="1" thickBot="1">
      <c r="A18" s="5"/>
      <c r="B18" s="25">
        <f>('[1]5.3.1 钢铁行业参数数据库'!F143+'[1]5.3.1 钢铁行业参数数据库'!F144)/'[1]5.3.1 钢铁行业参数数据库'!F146</f>
        <v>1.0340898684876598E-3</v>
      </c>
      <c r="C18" s="21" t="s">
        <v>12</v>
      </c>
      <c r="D18" s="11" t="str">
        <f>[1]对照表!$B$10</f>
        <v>Steel (DRI-EAF route)</v>
      </c>
      <c r="F18" s="26">
        <f>'[1]5.2 附表2000-2050EU27_Import_CHZ'!BU$55*'CBAM - Mechanism Rules'!$B18</f>
        <v>0.40315027612859905</v>
      </c>
      <c r="G18" s="26">
        <f>'[1]5.2 附表2000-2050EU27_Import_CHZ'!BV$55*'CBAM - Mechanism Rules'!$B18</f>
        <v>0.4719379341803982</v>
      </c>
      <c r="H18" s="26">
        <f>'[1]5.2 附表2000-2050EU27_Import_CHZ'!BW$55*'CBAM - Mechanism Rules'!$B18</f>
        <v>0.66166240235182916</v>
      </c>
      <c r="I18" s="26">
        <f>'[1]5.2 附表2000-2050EU27_Import_CHZ'!BX$55*'CBAM - Mechanism Rules'!$B18</f>
        <v>0.69840361537919582</v>
      </c>
      <c r="J18" s="26">
        <f>'[1]5.2 附表2000-2050EU27_Import_CHZ'!BY$55*'CBAM - Mechanism Rules'!$B18</f>
        <v>0.70681076601000037</v>
      </c>
      <c r="K18" s="26">
        <f>'[1]5.2 附表2000-2050EU27_Import_CHZ'!BZ$55*'CBAM - Mechanism Rules'!$B18</f>
        <v>0.71487666698420393</v>
      </c>
      <c r="L18" s="26">
        <f>'[1]5.2 附表2000-2050EU27_Import_CHZ'!CA$55*'CBAM - Mechanism Rules'!$B18</f>
        <v>0.72264268189654635</v>
      </c>
      <c r="M18" s="26">
        <f>'[1]5.2 附表2000-2050EU27_Import_CHZ'!CB$55*'CBAM - Mechanism Rules'!$B18</f>
        <v>0.73011915164571217</v>
      </c>
      <c r="N18" s="26">
        <f>'[1]5.2 附表2000-2050EU27_Import_CHZ'!CC$55*'CBAM - Mechanism Rules'!$B18</f>
        <v>0.73729573533301662</v>
      </c>
      <c r="O18" s="26">
        <f>'[1]5.2 附表2000-2050EU27_Import_CHZ'!CD$55*'CBAM - Mechanism Rules'!$B18</f>
        <v>0.74431720554004777</v>
      </c>
      <c r="P18" s="26">
        <f>'[1]5.2 附表2000-2050EU27_Import_CHZ'!CE$55*'CBAM - Mechanism Rules'!$B18</f>
        <v>0.75102844878653263</v>
      </c>
      <c r="Q18" s="26">
        <f>'[1]5.2 附表2000-2050EU27_Import_CHZ'!CF$55*'CBAM - Mechanism Rules'!$B18</f>
        <v>0.75758457855274453</v>
      </c>
      <c r="R18" s="26">
        <f>'[1]5.2 附表2000-2050EU27_Import_CHZ'!CG$55*'CBAM - Mechanism Rules'!$B18</f>
        <v>0.76392354944657381</v>
      </c>
      <c r="S18" s="26">
        <f>'[1]5.2 附表2000-2050EU27_Import_CHZ'!CH$55*'CBAM - Mechanism Rules'!$B18</f>
        <v>0.77004536146802083</v>
      </c>
      <c r="T18" s="26">
        <f>'[1]5.2 附表2000-2050EU27_Import_CHZ'!CI$55*'CBAM - Mechanism Rules'!$B18</f>
        <v>0.77603274180656434</v>
      </c>
      <c r="U18" s="26">
        <f>'[1]5.2 附表2000-2050EU27_Import_CHZ'!CJ$55*'CBAM - Mechanism Rules'!$B18</f>
        <v>0.78181330417141037</v>
      </c>
      <c r="V18" s="26">
        <f>'[1]5.2 附表2000-2050EU27_Import_CHZ'!CK$55*'CBAM - Mechanism Rules'!$B18</f>
        <v>0.7874594348533529</v>
      </c>
      <c r="W18" s="26">
        <f>'[1]5.2 附表2000-2050EU27_Import_CHZ'!CL$55*'CBAM - Mechanism Rules'!$B18</f>
        <v>0.79294011115633767</v>
      </c>
      <c r="X18" s="26">
        <f>'[1]5.2 附表2000-2050EU27_Import_CHZ'!CM$55*'CBAM - Mechanism Rules'!$B18</f>
        <v>0.79828635577641871</v>
      </c>
      <c r="Y18" s="26">
        <f>'[1]5.2 附表2000-2050EU27_Import_CHZ'!CN$55*'CBAM - Mechanism Rules'!$B18</f>
        <v>0.80349816871359658</v>
      </c>
      <c r="Z18" s="26">
        <f>'[1]5.2 附表2000-2050EU27_Import_CHZ'!CO$55*'CBAM - Mechanism Rules'!$B18</f>
        <v>0.80857554996787095</v>
      </c>
      <c r="AA18" s="26">
        <f>'[1]5.2 附表2000-2050EU27_Import_CHZ'!CP$55*'CBAM - Mechanism Rules'!$B18</f>
        <v>0.81351849953924205</v>
      </c>
      <c r="AB18" s="26">
        <f>'[1]5.2 附表2000-2050EU27_Import_CHZ'!CQ$55*'CBAM - Mechanism Rules'!$B18</f>
        <v>0.81836838102244902</v>
      </c>
      <c r="AC18" s="26">
        <f>'[1]5.2 附表2000-2050EU27_Import_CHZ'!CR$55*'CBAM - Mechanism Rules'!$B18</f>
        <v>0.82311485351880753</v>
      </c>
      <c r="AD18" s="26">
        <f>'[1]5.2 附表2000-2050EU27_Import_CHZ'!CS$55*'CBAM - Mechanism Rules'!$B18</f>
        <v>0.82773723523094711</v>
      </c>
      <c r="AE18" s="26">
        <f>'[1]5.2 附表2000-2050EU27_Import_CHZ'!CT$55*'CBAM - Mechanism Rules'!$B18</f>
        <v>0.83223552615886864</v>
      </c>
      <c r="AF18" s="26">
        <f>'[1]5.2 附表2000-2050EU27_Import_CHZ'!CU$55*'CBAM - Mechanism Rules'!$B18</f>
        <v>0.83671313528942026</v>
      </c>
      <c r="AG18" s="26">
        <f>'[1]5.2 附表2000-2050EU27_Import_CHZ'!CV$55*'CBAM - Mechanism Rules'!$B18</f>
        <v>0.84100460824364387</v>
      </c>
      <c r="AH18" s="26">
        <f>'[1]5.2 附表2000-2050EU27_Import_CHZ'!CW$55*'CBAM - Mechanism Rules'!$B18</f>
        <v>0.84525471760312809</v>
      </c>
      <c r="AI18" s="26">
        <f>'[1]5.2 附表2000-2050EU27_Import_CHZ'!CX$55*'CBAM - Mechanism Rules'!$B18</f>
        <v>0.84939107707707884</v>
      </c>
      <c r="AJ18" s="26">
        <f>'[1]5.2 附表2000-2050EU27_Import_CHZ'!CY$55*'CBAM - Mechanism Rules'!$B18</f>
        <v>0.85346539115892017</v>
      </c>
      <c r="AK18" s="24"/>
    </row>
    <row r="19" spans="1:37" ht="16" thickTop="1" thickBot="1">
      <c r="A19" s="5"/>
      <c r="B19" s="25">
        <f>1-B17-B18</f>
        <v>9.8965910131512319E-2</v>
      </c>
      <c r="C19" s="21" t="s">
        <v>12</v>
      </c>
      <c r="D19" s="11" t="str">
        <f>[1]对照表!$B$11</f>
        <v>Steel (Scrap-EAF route)</v>
      </c>
      <c r="F19" s="26">
        <f>'[1]5.2 附表2000-2050EU27_Import_CHZ'!BU$55*'CBAM - Mechanism Rules'!$B19</f>
        <v>38.582849723871391</v>
      </c>
      <c r="G19" s="26">
        <f>'[1]5.2 附表2000-2050EU27_Import_CHZ'!BV$55*'CBAM - Mechanism Rules'!$B19</f>
        <v>45.166062065819595</v>
      </c>
      <c r="H19" s="26">
        <f>'[1]5.2 附表2000-2050EU27_Import_CHZ'!BW$55*'CBAM - Mechanism Rules'!$B19</f>
        <v>63.323337597648163</v>
      </c>
      <c r="I19" s="26">
        <f>'[1]5.2 附表2000-2050EU27_Import_CHZ'!BX$55*'CBAM - Mechanism Rules'!$B19</f>
        <v>66.839596384620805</v>
      </c>
      <c r="J19" s="26">
        <f>'[1]5.2 附表2000-2050EU27_Import_CHZ'!BY$55*'CBAM - Mechanism Rules'!$B19</f>
        <v>67.644189233989991</v>
      </c>
      <c r="K19" s="26">
        <f>'[1]5.2 附表2000-2050EU27_Import_CHZ'!BZ$55*'CBAM - Mechanism Rules'!$B19</f>
        <v>68.416123333015761</v>
      </c>
      <c r="L19" s="26">
        <f>'[1]5.2 附表2000-2050EU27_Import_CHZ'!CA$55*'CBAM - Mechanism Rules'!$B19</f>
        <v>69.159357318103432</v>
      </c>
      <c r="M19" s="26">
        <f>'[1]5.2 附表2000-2050EU27_Import_CHZ'!CB$55*'CBAM - Mechanism Rules'!$B19</f>
        <v>69.874880848354266</v>
      </c>
      <c r="N19" s="26">
        <f>'[1]5.2 附表2000-2050EU27_Import_CHZ'!CC$55*'CBAM - Mechanism Rules'!$B19</f>
        <v>70.561704264666972</v>
      </c>
      <c r="O19" s="26">
        <f>'[1]5.2 附表2000-2050EU27_Import_CHZ'!CD$55*'CBAM - Mechanism Rules'!$B19</f>
        <v>71.233682794459938</v>
      </c>
      <c r="P19" s="26">
        <f>'[1]5.2 附表2000-2050EU27_Import_CHZ'!CE$55*'CBAM - Mechanism Rules'!$B19</f>
        <v>71.875971551213453</v>
      </c>
      <c r="Q19" s="26">
        <f>'[1]5.2 附表2000-2050EU27_Import_CHZ'!CF$55*'CBAM - Mechanism Rules'!$B19</f>
        <v>72.503415421447258</v>
      </c>
      <c r="R19" s="26">
        <f>'[1]5.2 附表2000-2050EU27_Import_CHZ'!CG$55*'CBAM - Mechanism Rules'!$B19</f>
        <v>73.110076450553407</v>
      </c>
      <c r="S19" s="26">
        <f>'[1]5.2 附表2000-2050EU27_Import_CHZ'!CH$55*'CBAM - Mechanism Rules'!$B19</f>
        <v>73.695954638531973</v>
      </c>
      <c r="T19" s="26">
        <f>'[1]5.2 附表2000-2050EU27_Import_CHZ'!CI$55*'CBAM - Mechanism Rules'!$B19</f>
        <v>74.268967258193427</v>
      </c>
      <c r="U19" s="26">
        <f>'[1]5.2 附表2000-2050EU27_Import_CHZ'!CJ$55*'CBAM - Mechanism Rules'!$B19</f>
        <v>74.822186695828577</v>
      </c>
      <c r="V19" s="26">
        <f>'[1]5.2 附表2000-2050EU27_Import_CHZ'!CK$55*'CBAM - Mechanism Rules'!$B19</f>
        <v>75.362540565146631</v>
      </c>
      <c r="W19" s="26">
        <f>'[1]5.2 附表2000-2050EU27_Import_CHZ'!CL$55*'CBAM - Mechanism Rules'!$B19</f>
        <v>75.887059888843666</v>
      </c>
      <c r="X19" s="26">
        <f>'[1]5.2 附表2000-2050EU27_Import_CHZ'!CM$55*'CBAM - Mechanism Rules'!$B19</f>
        <v>76.398713644223562</v>
      </c>
      <c r="Y19" s="26">
        <f>'[1]5.2 附表2000-2050EU27_Import_CHZ'!CN$55*'CBAM - Mechanism Rules'!$B19</f>
        <v>76.897501831286391</v>
      </c>
      <c r="Z19" s="26">
        <f>'[1]5.2 附表2000-2050EU27_Import_CHZ'!CO$55*'CBAM - Mechanism Rules'!$B19</f>
        <v>77.383424450032109</v>
      </c>
      <c r="AA19" s="26">
        <f>'[1]5.2 附表2000-2050EU27_Import_CHZ'!CP$55*'CBAM - Mechanism Rules'!$B19</f>
        <v>77.856481500460745</v>
      </c>
      <c r="AB19" s="26">
        <f>'[1]5.2 附表2000-2050EU27_Import_CHZ'!CQ$55*'CBAM - Mechanism Rules'!$B19</f>
        <v>78.320631618977529</v>
      </c>
      <c r="AC19" s="26">
        <f>'[1]5.2 附表2000-2050EU27_Import_CHZ'!CR$55*'CBAM - Mechanism Rules'!$B19</f>
        <v>78.774885146481182</v>
      </c>
      <c r="AD19" s="26">
        <f>'[1]5.2 附表2000-2050EU27_Import_CHZ'!CS$55*'CBAM - Mechanism Rules'!$B19</f>
        <v>79.217262764769018</v>
      </c>
      <c r="AE19" s="26">
        <f>'[1]5.2 附表2000-2050EU27_Import_CHZ'!CT$55*'CBAM - Mechanism Rules'!$B19</f>
        <v>79.647764473841121</v>
      </c>
      <c r="AF19" s="26">
        <f>'[1]5.2 附表2000-2050EU27_Import_CHZ'!CU$55*'CBAM - Mechanism Rules'!$B19</f>
        <v>80.076286864710568</v>
      </c>
      <c r="AG19" s="26">
        <f>'[1]5.2 附表2000-2050EU27_Import_CHZ'!CV$55*'CBAM - Mechanism Rules'!$B19</f>
        <v>80.486995391756324</v>
      </c>
      <c r="AH19" s="26">
        <f>'[1]5.2 附表2000-2050EU27_Import_CHZ'!CW$55*'CBAM - Mechanism Rules'!$B19</f>
        <v>80.893745282396836</v>
      </c>
      <c r="AI19" s="26">
        <f>'[1]5.2 附表2000-2050EU27_Import_CHZ'!CX$55*'CBAM - Mechanism Rules'!$B19</f>
        <v>81.289608922922909</v>
      </c>
      <c r="AJ19" s="26">
        <f>'[1]5.2 附表2000-2050EU27_Import_CHZ'!CY$55*'CBAM - Mechanism Rules'!$B19</f>
        <v>81.679534608841053</v>
      </c>
      <c r="AK19" s="24"/>
    </row>
    <row r="20" spans="1:37" ht="15" thickTop="1">
      <c r="A20" s="20"/>
      <c r="C20" s="21" t="s">
        <v>12</v>
      </c>
      <c r="D20" s="11" t="s">
        <v>13</v>
      </c>
      <c r="F20" s="26">
        <f>SUM(F10:F19)</f>
        <v>390.6</v>
      </c>
      <c r="G20" s="26">
        <f t="shared" ref="G20:AJ20" si="0">SUM(G10:G19)</f>
        <v>456.89</v>
      </c>
      <c r="H20" s="26">
        <f t="shared" si="0"/>
        <v>646.75</v>
      </c>
      <c r="I20" s="26">
        <f t="shared" si="0"/>
        <v>677.50000000000011</v>
      </c>
      <c r="J20" s="26">
        <f t="shared" si="0"/>
        <v>685.61</v>
      </c>
      <c r="K20" s="26">
        <f t="shared" si="0"/>
        <v>693.38999999999987</v>
      </c>
      <c r="L20" s="26">
        <f t="shared" si="0"/>
        <v>700.89</v>
      </c>
      <c r="M20" s="26">
        <f t="shared" si="0"/>
        <v>708.0899999999998</v>
      </c>
      <c r="N20" s="26">
        <f t="shared" si="0"/>
        <v>715.01</v>
      </c>
      <c r="O20" s="26">
        <f t="shared" si="0"/>
        <v>721.78</v>
      </c>
      <c r="P20" s="26">
        <f t="shared" si="0"/>
        <v>728.24</v>
      </c>
      <c r="Q20" s="26">
        <f t="shared" si="0"/>
        <v>734.58000000000015</v>
      </c>
      <c r="R20" s="26">
        <f t="shared" si="0"/>
        <v>740.68</v>
      </c>
      <c r="S20" s="26">
        <f t="shared" si="0"/>
        <v>746.57999999999993</v>
      </c>
      <c r="T20" s="26">
        <f t="shared" si="0"/>
        <v>752.37000000000012</v>
      </c>
      <c r="U20" s="26">
        <f t="shared" si="0"/>
        <v>757.93000000000006</v>
      </c>
      <c r="V20" s="26">
        <f t="shared" si="0"/>
        <v>763.37</v>
      </c>
      <c r="W20" s="26">
        <f t="shared" si="0"/>
        <v>768.6600000000002</v>
      </c>
      <c r="X20" s="26">
        <f t="shared" si="0"/>
        <v>773.81000000000006</v>
      </c>
      <c r="Y20" s="26">
        <f t="shared" si="0"/>
        <v>778.85</v>
      </c>
      <c r="Z20" s="26">
        <f t="shared" si="0"/>
        <v>783.74999999999989</v>
      </c>
      <c r="AA20" s="26">
        <f t="shared" si="0"/>
        <v>788.54000000000008</v>
      </c>
      <c r="AB20" s="26">
        <f t="shared" si="0"/>
        <v>793.24</v>
      </c>
      <c r="AC20" s="26">
        <f t="shared" si="0"/>
        <v>797.84000000000026</v>
      </c>
      <c r="AD20" s="26">
        <f t="shared" si="0"/>
        <v>802.31999999999982</v>
      </c>
      <c r="AE20" s="26">
        <f t="shared" si="0"/>
        <v>806.68000000000006</v>
      </c>
      <c r="AF20" s="26">
        <f t="shared" si="0"/>
        <v>811.0200000000001</v>
      </c>
      <c r="AG20" s="26">
        <f t="shared" si="0"/>
        <v>815.18999999999983</v>
      </c>
      <c r="AH20" s="26">
        <f t="shared" si="0"/>
        <v>819.31999999999982</v>
      </c>
      <c r="AI20" s="26">
        <f t="shared" si="0"/>
        <v>823.32999999999993</v>
      </c>
      <c r="AJ20" s="26">
        <f t="shared" si="0"/>
        <v>827.28</v>
      </c>
      <c r="AK20" s="24"/>
    </row>
    <row r="21" spans="1:37" ht="14"/>
    <row r="22" spans="1:37" ht="15" thickBot="1">
      <c r="B22" s="19" t="s">
        <v>14</v>
      </c>
      <c r="F22" s="10">
        <v>2020</v>
      </c>
      <c r="G22" s="10">
        <v>2021</v>
      </c>
      <c r="H22" s="10">
        <v>2022</v>
      </c>
      <c r="I22" s="10">
        <v>2023</v>
      </c>
      <c r="J22" s="10">
        <v>2024</v>
      </c>
      <c r="K22" s="10">
        <v>2025</v>
      </c>
      <c r="L22" s="10">
        <v>2026</v>
      </c>
      <c r="M22" s="10">
        <v>2027</v>
      </c>
      <c r="N22" s="10">
        <v>2028</v>
      </c>
      <c r="O22" s="10">
        <v>2029</v>
      </c>
      <c r="P22" s="10">
        <v>2030</v>
      </c>
      <c r="Q22" s="10">
        <v>2031</v>
      </c>
      <c r="R22" s="10">
        <v>2032</v>
      </c>
      <c r="S22" s="10">
        <v>2033</v>
      </c>
      <c r="T22" s="10">
        <v>2034</v>
      </c>
      <c r="U22" s="10">
        <v>2035</v>
      </c>
      <c r="V22" s="10">
        <v>2036</v>
      </c>
      <c r="W22" s="10">
        <v>2037</v>
      </c>
      <c r="X22" s="10">
        <v>2038</v>
      </c>
      <c r="Y22" s="10">
        <v>2039</v>
      </c>
      <c r="Z22" s="10">
        <v>2040</v>
      </c>
      <c r="AA22" s="10">
        <v>2041</v>
      </c>
      <c r="AB22" s="10">
        <v>2042</v>
      </c>
      <c r="AC22" s="10">
        <v>2043</v>
      </c>
      <c r="AD22" s="10">
        <v>2044</v>
      </c>
      <c r="AE22" s="10">
        <v>2045</v>
      </c>
      <c r="AF22" s="10">
        <v>2046</v>
      </c>
      <c r="AG22" s="10">
        <v>2047</v>
      </c>
      <c r="AH22" s="10">
        <v>2048</v>
      </c>
      <c r="AI22" s="10">
        <v>2049</v>
      </c>
      <c r="AJ22" s="10">
        <v>2050</v>
      </c>
    </row>
    <row r="23" spans="1:37" ht="16" thickTop="1" thickBot="1">
      <c r="A23" s="5"/>
      <c r="C23" s="21" t="s">
        <v>15</v>
      </c>
      <c r="D23" s="11" t="str">
        <f>[1]对照表!$B$2</f>
        <v>Sintered ore</v>
      </c>
      <c r="E23" s="20" t="str">
        <f>C23&amp;D23</f>
        <v>BAUSintered ore</v>
      </c>
      <c r="F23" s="27">
        <f>VLOOKUP($E23,'[1]5.2 附表1'!$E$29:$BC$60,F$2+1,)</f>
        <v>0.17100000000000001</v>
      </c>
      <c r="G23" s="28">
        <f>VLOOKUP($E23,'[1]5.2 附表1'!$E$29:$BC$60,G$2+1,)</f>
        <v>0.157</v>
      </c>
      <c r="H23" s="28">
        <f>VLOOKUP($E23,'[1]5.2 附表1'!$E$29:$BC$60,H$2+1,)</f>
        <v>0.157</v>
      </c>
      <c r="I23" s="28">
        <f>VLOOKUP($E23,'[1]5.2 附表1'!$E$29:$BC$60,I$2+1,)</f>
        <v>0.157</v>
      </c>
      <c r="J23" s="28">
        <f>VLOOKUP($E23,'[1]5.2 附表1'!$E$29:$BC$60,J$2+1,)</f>
        <v>0.157</v>
      </c>
      <c r="K23" s="28">
        <f>VLOOKUP($E23,'[1]5.2 附表1'!$E$29:$BC$60,K$2+1,)</f>
        <v>0.157</v>
      </c>
      <c r="L23" s="29">
        <f>VLOOKUP($E23,'[1]5.2 附表1'!$E$29:$BC$60,L$2+1,)</f>
        <v>0.11628000000000001</v>
      </c>
      <c r="M23" s="28">
        <f>VLOOKUP($E23,'[1]5.2 附表1'!$E$29:$BC$60,M$2+1,)</f>
        <v>0.11628000000000001</v>
      </c>
      <c r="N23" s="28">
        <f>VLOOKUP($E23,'[1]5.2 附表1'!$E$29:$BC$60,N$2+1,)</f>
        <v>0.11628000000000001</v>
      </c>
      <c r="O23" s="28">
        <f>VLOOKUP($E23,'[1]5.2 附表1'!$E$29:$BC$60,O$2+1,)</f>
        <v>0.11628000000000001</v>
      </c>
      <c r="P23" s="30">
        <f>VLOOKUP($E23,'[1]5.2 附表1'!$E$29:$BC$60,P$2+1,)</f>
        <v>0.11628000000000001</v>
      </c>
      <c r="Q23" s="28">
        <f>VLOOKUP($E23,'[1]5.2 附表1'!$E$29:$BC$60,Q$2+1,)</f>
        <v>0.10260000000000001</v>
      </c>
      <c r="R23" s="28">
        <f>VLOOKUP($E23,'[1]5.2 附表1'!$E$29:$BC$60,R$2+1,)</f>
        <v>0.10260000000000001</v>
      </c>
      <c r="S23" s="28">
        <f>VLOOKUP($E23,'[1]5.2 附表1'!$E$29:$BC$60,S$2+1,)</f>
        <v>0.10260000000000001</v>
      </c>
      <c r="T23" s="30">
        <f>VLOOKUP($E23,'[1]5.2 附表1'!$E$29:$BC$60,T$2+1,)</f>
        <v>0.10260000000000001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</row>
    <row r="24" spans="1:37" ht="16" thickTop="1" thickBot="1">
      <c r="A24" s="5"/>
      <c r="C24" s="21" t="s">
        <v>15</v>
      </c>
      <c r="D24" s="11" t="str">
        <f>[1]对照表!$B$3</f>
        <v>Alloys</v>
      </c>
      <c r="E24" s="20" t="str">
        <f t="shared" ref="E24:E32" si="1">C24&amp;D24</f>
        <v>BAUAlloys</v>
      </c>
      <c r="F24" s="32">
        <f>VLOOKUP($E24,'[1]5.2 附表1'!$E$29:$BC$60,F$2+1,)</f>
        <v>0.20520000000000002</v>
      </c>
      <c r="G24" s="33">
        <f>VLOOKUP($E24,'[1]5.2 附表1'!$E$29:$BC$60,G$2+1,)</f>
        <v>0.18839999999999998</v>
      </c>
      <c r="H24" s="33">
        <f>VLOOKUP($E24,'[1]5.2 附表1'!$E$29:$BC$60,H$2+1,)</f>
        <v>0.18839999999999998</v>
      </c>
      <c r="I24" s="33">
        <f>VLOOKUP($E24,'[1]5.2 附表1'!$E$29:$BC$60,I$2+1,)</f>
        <v>0.18839999999999998</v>
      </c>
      <c r="J24" s="33">
        <f>VLOOKUP($E24,'[1]5.2 附表1'!$E$29:$BC$60,J$2+1,)</f>
        <v>0.18839999999999998</v>
      </c>
      <c r="K24" s="33">
        <f>VLOOKUP($E24,'[1]5.2 附表1'!$E$29:$BC$60,K$2+1,)</f>
        <v>0.18839999999999998</v>
      </c>
      <c r="L24" s="34">
        <f>VLOOKUP($E24,'[1]5.2 附表1'!$E$29:$BC$60,L$2+1,)</f>
        <v>0.13953599999999999</v>
      </c>
      <c r="M24" s="33">
        <f>VLOOKUP($E24,'[1]5.2 附表1'!$E$29:$BC$60,M$2+1,)</f>
        <v>0.13953599999999999</v>
      </c>
      <c r="N24" s="33">
        <f>VLOOKUP($E24,'[1]5.2 附表1'!$E$29:$BC$60,N$2+1,)</f>
        <v>0.13953599999999999</v>
      </c>
      <c r="O24" s="33">
        <f>VLOOKUP($E24,'[1]5.2 附表1'!$E$29:$BC$60,O$2+1,)</f>
        <v>0.13953599999999999</v>
      </c>
      <c r="P24" s="35">
        <f>VLOOKUP($E24,'[1]5.2 附表1'!$E$29:$BC$60,P$2+1,)</f>
        <v>0.13953599999999999</v>
      </c>
      <c r="Q24" s="33">
        <f>VLOOKUP($E24,'[1]5.2 附表1'!$E$29:$BC$60,Q$2+1,)</f>
        <v>0.12312000000000001</v>
      </c>
      <c r="R24" s="33">
        <f>VLOOKUP($E24,'[1]5.2 附表1'!$E$29:$BC$60,R$2+1,)</f>
        <v>0.12312000000000001</v>
      </c>
      <c r="S24" s="33">
        <f>VLOOKUP($E24,'[1]5.2 附表1'!$E$29:$BC$60,S$2+1,)</f>
        <v>0.12312000000000001</v>
      </c>
      <c r="T24" s="35">
        <f>VLOOKUP($E24,'[1]5.2 附表1'!$E$29:$BC$60,T$2+1,)</f>
        <v>0.12312000000000001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  <c r="AE24" s="31">
        <v>0</v>
      </c>
      <c r="AF24" s="31">
        <v>0</v>
      </c>
      <c r="AG24" s="31">
        <v>0</v>
      </c>
      <c r="AH24" s="31">
        <v>0</v>
      </c>
      <c r="AI24" s="31">
        <v>0</v>
      </c>
      <c r="AJ24" s="31">
        <v>0</v>
      </c>
    </row>
    <row r="25" spans="1:37" ht="16" thickTop="1" thickBot="1">
      <c r="A25" s="5"/>
      <c r="C25" s="21" t="s">
        <v>15</v>
      </c>
      <c r="D25" s="11" t="str">
        <f>[1]对照表!$B$4</f>
        <v>Pig iron (BF)</v>
      </c>
      <c r="E25" s="20" t="str">
        <f t="shared" si="1"/>
        <v>BAUPig iron (BF)</v>
      </c>
      <c r="F25" s="32">
        <f>VLOOKUP($E25,'[1]5.2 附表1'!$E$29:$BC$60,F$2+1,)</f>
        <v>1.3280000000000001</v>
      </c>
      <c r="G25" s="33">
        <f>VLOOKUP($E25,'[1]5.2 附表1'!$E$29:$BC$60,G$2+1,)</f>
        <v>1.288</v>
      </c>
      <c r="H25" s="33">
        <f>VLOOKUP($E25,'[1]5.2 附表1'!$E$29:$BC$60,H$2+1,)</f>
        <v>1.288</v>
      </c>
      <c r="I25" s="33">
        <f>VLOOKUP($E25,'[1]5.2 附表1'!$E$29:$BC$60,I$2+1,)</f>
        <v>1.288</v>
      </c>
      <c r="J25" s="33">
        <f>VLOOKUP($E25,'[1]5.2 附表1'!$E$29:$BC$60,J$2+1,)</f>
        <v>1.288</v>
      </c>
      <c r="K25" s="33">
        <f>VLOOKUP($E25,'[1]5.2 附表1'!$E$29:$BC$60,K$2+1,)</f>
        <v>1.288</v>
      </c>
      <c r="L25" s="34">
        <f>VLOOKUP($E25,'[1]5.2 附表1'!$E$29:$BC$60,L$2+1,)</f>
        <v>1.27488</v>
      </c>
      <c r="M25" s="33">
        <f>VLOOKUP($E25,'[1]5.2 附表1'!$E$29:$BC$60,M$2+1,)</f>
        <v>1.27488</v>
      </c>
      <c r="N25" s="33">
        <f>VLOOKUP($E25,'[1]5.2 附表1'!$E$29:$BC$60,N$2+1,)</f>
        <v>1.27488</v>
      </c>
      <c r="O25" s="33">
        <f>VLOOKUP($E25,'[1]5.2 附表1'!$E$29:$BC$60,O$2+1,)</f>
        <v>1.27488</v>
      </c>
      <c r="P25" s="35">
        <f>VLOOKUP($E25,'[1]5.2 附表1'!$E$29:$BC$60,P$2+1,)</f>
        <v>1.27488</v>
      </c>
      <c r="Q25" s="33">
        <f>VLOOKUP($E25,'[1]5.2 附表1'!$E$29:$BC$60,Q$2+1,)</f>
        <v>1.2616000000000001</v>
      </c>
      <c r="R25" s="33">
        <f>VLOOKUP($E25,'[1]5.2 附表1'!$E$29:$BC$60,R$2+1,)</f>
        <v>1.2616000000000001</v>
      </c>
      <c r="S25" s="33">
        <f>VLOOKUP($E25,'[1]5.2 附表1'!$E$29:$BC$60,S$2+1,)</f>
        <v>1.2616000000000001</v>
      </c>
      <c r="T25" s="35">
        <f>VLOOKUP($E25,'[1]5.2 附表1'!$E$29:$BC$60,T$2+1,)</f>
        <v>1.2616000000000001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  <c r="AC25" s="31">
        <v>0</v>
      </c>
      <c r="AD25" s="31">
        <v>0</v>
      </c>
      <c r="AE25" s="31">
        <v>0</v>
      </c>
      <c r="AF25" s="31">
        <v>0</v>
      </c>
      <c r="AG25" s="31">
        <v>0</v>
      </c>
      <c r="AH25" s="31">
        <v>0</v>
      </c>
      <c r="AI25" s="31">
        <v>0</v>
      </c>
      <c r="AJ25" s="31">
        <v>0</v>
      </c>
    </row>
    <row r="26" spans="1:37" ht="16" thickTop="1" thickBot="1">
      <c r="A26" s="5"/>
      <c r="C26" s="21" t="s">
        <v>15</v>
      </c>
      <c r="D26" s="11" t="str">
        <f>[1]对照表!$B$5</f>
        <v>Pig iron (smelting reduction)</v>
      </c>
      <c r="E26" s="20" t="str">
        <f t="shared" si="1"/>
        <v>BAUPig iron (smelting reduction)</v>
      </c>
      <c r="F26" s="32">
        <f>VLOOKUP($E26,'[1]5.2 附表1'!$E$29:$BC$60,F$2+1,)</f>
        <v>0.27360000000000001</v>
      </c>
      <c r="G26" s="33">
        <f>VLOOKUP($E26,'[1]5.2 附表1'!$E$29:$BC$60,G$2+1,)</f>
        <v>0.25120000000000003</v>
      </c>
      <c r="H26" s="33">
        <f>VLOOKUP($E26,'[1]5.2 附表1'!$E$29:$BC$60,H$2+1,)</f>
        <v>0.25120000000000003</v>
      </c>
      <c r="I26" s="33">
        <f>VLOOKUP($E26,'[1]5.2 附表1'!$E$29:$BC$60,I$2+1,)</f>
        <v>0.25120000000000003</v>
      </c>
      <c r="J26" s="33">
        <f>VLOOKUP($E26,'[1]5.2 附表1'!$E$29:$BC$60,J$2+1,)</f>
        <v>0.25120000000000003</v>
      </c>
      <c r="K26" s="33">
        <f>VLOOKUP($E26,'[1]5.2 附表1'!$E$29:$BC$60,K$2+1,)</f>
        <v>0.25120000000000003</v>
      </c>
      <c r="L26" s="34">
        <f>VLOOKUP($E26,'[1]5.2 附表1'!$E$29:$BC$60,L$2+1,)</f>
        <v>0.18604800000000002</v>
      </c>
      <c r="M26" s="33">
        <f>VLOOKUP($E26,'[1]5.2 附表1'!$E$29:$BC$60,M$2+1,)</f>
        <v>0.18604800000000002</v>
      </c>
      <c r="N26" s="33">
        <f>VLOOKUP($E26,'[1]5.2 附表1'!$E$29:$BC$60,N$2+1,)</f>
        <v>0.18604800000000002</v>
      </c>
      <c r="O26" s="33">
        <f>VLOOKUP($E26,'[1]5.2 附表1'!$E$29:$BC$60,O$2+1,)</f>
        <v>0.18604800000000002</v>
      </c>
      <c r="P26" s="35">
        <f>VLOOKUP($E26,'[1]5.2 附表1'!$E$29:$BC$60,P$2+1,)</f>
        <v>0.18604800000000002</v>
      </c>
      <c r="Q26" s="33">
        <f>VLOOKUP($E26,'[1]5.2 附表1'!$E$29:$BC$60,Q$2+1,)</f>
        <v>0.16416000000000003</v>
      </c>
      <c r="R26" s="33">
        <f>VLOOKUP($E26,'[1]5.2 附表1'!$E$29:$BC$60,R$2+1,)</f>
        <v>0.16416000000000003</v>
      </c>
      <c r="S26" s="33">
        <f>VLOOKUP($E26,'[1]5.2 附表1'!$E$29:$BC$60,S$2+1,)</f>
        <v>0.16416000000000003</v>
      </c>
      <c r="T26" s="35">
        <f>VLOOKUP($E26,'[1]5.2 附表1'!$E$29:$BC$60,T$2+1,)</f>
        <v>0.16416000000000003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1">
        <v>0</v>
      </c>
      <c r="AG26" s="31">
        <v>0</v>
      </c>
      <c r="AH26" s="31">
        <v>0</v>
      </c>
      <c r="AI26" s="31">
        <v>0</v>
      </c>
      <c r="AJ26" s="31">
        <v>0</v>
      </c>
    </row>
    <row r="27" spans="1:37" ht="16" thickTop="1" thickBot="1">
      <c r="A27" s="5"/>
      <c r="C27" s="21" t="s">
        <v>15</v>
      </c>
      <c r="D27" s="11" t="str">
        <f>[1]对照表!$B$6</f>
        <v>DRI</v>
      </c>
      <c r="E27" s="20" t="str">
        <f t="shared" si="1"/>
        <v>BAUDRI</v>
      </c>
      <c r="F27" s="32">
        <f>VLOOKUP($E27,'[1]5.2 附表1'!$E$29:$BC$60,F$2+1,)</f>
        <v>0.27360000000000001</v>
      </c>
      <c r="G27" s="33">
        <f>VLOOKUP($E27,'[1]5.2 附表1'!$E$29:$BC$60,G$2+1,)</f>
        <v>0.25120000000000003</v>
      </c>
      <c r="H27" s="33">
        <f>VLOOKUP($E27,'[1]5.2 附表1'!$E$29:$BC$60,H$2+1,)</f>
        <v>0.25120000000000003</v>
      </c>
      <c r="I27" s="33">
        <f>VLOOKUP($E27,'[1]5.2 附表1'!$E$29:$BC$60,I$2+1,)</f>
        <v>0.25120000000000003</v>
      </c>
      <c r="J27" s="33">
        <f>VLOOKUP($E27,'[1]5.2 附表1'!$E$29:$BC$60,J$2+1,)</f>
        <v>0.25120000000000003</v>
      </c>
      <c r="K27" s="33">
        <f>VLOOKUP($E27,'[1]5.2 附表1'!$E$29:$BC$60,K$2+1,)</f>
        <v>0.25120000000000003</v>
      </c>
      <c r="L27" s="34">
        <f>VLOOKUP($E27,'[1]5.2 附表1'!$E$29:$BC$60,L$2+1,)</f>
        <v>0.18604800000000002</v>
      </c>
      <c r="M27" s="33">
        <f>VLOOKUP($E27,'[1]5.2 附表1'!$E$29:$BC$60,M$2+1,)</f>
        <v>0.18604800000000002</v>
      </c>
      <c r="N27" s="33">
        <f>VLOOKUP($E27,'[1]5.2 附表1'!$E$29:$BC$60,N$2+1,)</f>
        <v>0.18604800000000002</v>
      </c>
      <c r="O27" s="33">
        <f>VLOOKUP($E27,'[1]5.2 附表1'!$E$29:$BC$60,O$2+1,)</f>
        <v>0.18604800000000002</v>
      </c>
      <c r="P27" s="35">
        <f>VLOOKUP($E27,'[1]5.2 附表1'!$E$29:$BC$60,P$2+1,)</f>
        <v>0.18604800000000002</v>
      </c>
      <c r="Q27" s="33">
        <f>VLOOKUP($E27,'[1]5.2 附表1'!$E$29:$BC$60,Q$2+1,)</f>
        <v>0.16416000000000003</v>
      </c>
      <c r="R27" s="33">
        <f>VLOOKUP($E27,'[1]5.2 附表1'!$E$29:$BC$60,R$2+1,)</f>
        <v>0.16416000000000003</v>
      </c>
      <c r="S27" s="33">
        <f>VLOOKUP($E27,'[1]5.2 附表1'!$E$29:$BC$60,S$2+1,)</f>
        <v>0.16416000000000003</v>
      </c>
      <c r="T27" s="35">
        <f>VLOOKUP($E27,'[1]5.2 附表1'!$E$29:$BC$60,T$2+1,)</f>
        <v>0.16416000000000003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</row>
    <row r="28" spans="1:37" ht="16" thickTop="1" thickBot="1">
      <c r="A28" s="5"/>
      <c r="C28" s="21" t="s">
        <v>15</v>
      </c>
      <c r="D28" s="11" t="str">
        <f>[1]对照表!$B$7</f>
        <v>Crude steel (BOF route)</v>
      </c>
      <c r="E28" s="20" t="str">
        <f t="shared" si="1"/>
        <v>BAUCrude steel (BOF route)</v>
      </c>
      <c r="F28" s="32">
        <f>VLOOKUP($E28,'[1]5.2 附表1'!$E$29:$BC$60,F$2+1,)</f>
        <v>1.6016000000000001</v>
      </c>
      <c r="G28" s="33">
        <f>VLOOKUP($E28,'[1]5.2 附表1'!$E$29:$BC$60,G$2+1,)</f>
        <v>1.5392000000000001</v>
      </c>
      <c r="H28" s="33">
        <f>VLOOKUP($E28,'[1]5.2 附表1'!$E$29:$BC$60,H$2+1,)</f>
        <v>1.5392000000000001</v>
      </c>
      <c r="I28" s="33">
        <f>VLOOKUP($E28,'[1]5.2 附表1'!$E$29:$BC$60,I$2+1,)</f>
        <v>1.5392000000000001</v>
      </c>
      <c r="J28" s="33">
        <f>VLOOKUP($E28,'[1]5.2 附表1'!$E$29:$BC$60,J$2+1,)</f>
        <v>1.5392000000000001</v>
      </c>
      <c r="K28" s="33">
        <f>VLOOKUP($E28,'[1]5.2 附表1'!$E$29:$BC$60,K$2+1,)</f>
        <v>1.5392000000000001</v>
      </c>
      <c r="L28" s="34">
        <f>VLOOKUP($E28,'[1]5.2 附表1'!$E$29:$BC$60,L$2+1,)</f>
        <v>1.460928</v>
      </c>
      <c r="M28" s="33">
        <f>VLOOKUP($E28,'[1]5.2 附表1'!$E$29:$BC$60,M$2+1,)</f>
        <v>1.460928</v>
      </c>
      <c r="N28" s="33">
        <f>VLOOKUP($E28,'[1]5.2 附表1'!$E$29:$BC$60,N$2+1,)</f>
        <v>1.460928</v>
      </c>
      <c r="O28" s="33">
        <f>VLOOKUP($E28,'[1]5.2 附表1'!$E$29:$BC$60,O$2+1,)</f>
        <v>1.460928</v>
      </c>
      <c r="P28" s="35">
        <f>VLOOKUP($E28,'[1]5.2 附表1'!$E$29:$BC$60,P$2+1,)</f>
        <v>1.460928</v>
      </c>
      <c r="Q28" s="33">
        <f>VLOOKUP($E28,'[1]5.2 附表1'!$E$29:$BC$60,Q$2+1,)</f>
        <v>1.4257600000000001</v>
      </c>
      <c r="R28" s="33">
        <f>VLOOKUP($E28,'[1]5.2 附表1'!$E$29:$BC$60,R$2+1,)</f>
        <v>1.4257600000000001</v>
      </c>
      <c r="S28" s="33">
        <f>VLOOKUP($E28,'[1]5.2 附表1'!$E$29:$BC$60,S$2+1,)</f>
        <v>1.4257600000000001</v>
      </c>
      <c r="T28" s="35">
        <f>VLOOKUP($E28,'[1]5.2 附表1'!$E$29:$BC$60,T$2+1,)</f>
        <v>1.4257600000000001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1">
        <v>0</v>
      </c>
      <c r="AG28" s="31">
        <v>0</v>
      </c>
      <c r="AH28" s="31">
        <v>0</v>
      </c>
      <c r="AI28" s="31">
        <v>0</v>
      </c>
      <c r="AJ28" s="31">
        <v>0</v>
      </c>
    </row>
    <row r="29" spans="1:37" ht="15" customHeight="1" thickTop="1" thickBot="1">
      <c r="A29" s="5"/>
      <c r="C29" s="21" t="s">
        <v>15</v>
      </c>
      <c r="D29" s="11" t="str">
        <f>[1]对照表!$B$8</f>
        <v>Crude steel (EAF route)</v>
      </c>
      <c r="E29" s="20" t="str">
        <f t="shared" si="1"/>
        <v>BAUCrude steel (EAF route)</v>
      </c>
      <c r="F29" s="32">
        <f>VLOOKUP($E29,'[1]5.2 附表1'!$E$29:$BC$60,F$2+1,)</f>
        <v>0.3175</v>
      </c>
      <c r="G29" s="33">
        <f>VLOOKUP($E29,'[1]5.2 附表1'!$E$29:$BC$60,G$2+1,)</f>
        <v>0.24149999999999999</v>
      </c>
      <c r="H29" s="33">
        <f>VLOOKUP($E29,'[1]5.2 附表1'!$E$29:$BC$60,H$2+1,)</f>
        <v>0.24149999999999999</v>
      </c>
      <c r="I29" s="33">
        <f>VLOOKUP($E29,'[1]5.2 附表1'!$E$29:$BC$60,I$2+1,)</f>
        <v>0.24149999999999999</v>
      </c>
      <c r="J29" s="33">
        <f>VLOOKUP($E29,'[1]5.2 附表1'!$E$29:$BC$60,J$2+1,)</f>
        <v>0.24149999999999999</v>
      </c>
      <c r="K29" s="33">
        <f>VLOOKUP($E29,'[1]5.2 附表1'!$E$29:$BC$60,K$2+1,)</f>
        <v>0.24149999999999999</v>
      </c>
      <c r="L29" s="34">
        <f>VLOOKUP($E29,'[1]5.2 附表1'!$E$29:$BC$60,L$2+1,)</f>
        <v>0.21589999999999998</v>
      </c>
      <c r="M29" s="33">
        <f>VLOOKUP($E29,'[1]5.2 附表1'!$E$29:$BC$60,M$2+1,)</f>
        <v>0.21589999999999998</v>
      </c>
      <c r="N29" s="33">
        <f>VLOOKUP($E29,'[1]5.2 附表1'!$E$29:$BC$60,N$2+1,)</f>
        <v>0.21589999999999998</v>
      </c>
      <c r="O29" s="33">
        <f>VLOOKUP($E29,'[1]5.2 附表1'!$E$29:$BC$60,O$2+1,)</f>
        <v>0.21589999999999998</v>
      </c>
      <c r="P29" s="35">
        <f>VLOOKUP($E29,'[1]5.2 附表1'!$E$29:$BC$60,P$2+1,)</f>
        <v>0.21589999999999998</v>
      </c>
      <c r="Q29" s="33">
        <f>VLOOKUP($E29,'[1]5.2 附表1'!$E$29:$BC$60,Q$2+1,)</f>
        <v>0.1905</v>
      </c>
      <c r="R29" s="33">
        <f>VLOOKUP($E29,'[1]5.2 附表1'!$E$29:$BC$60,R$2+1,)</f>
        <v>0.1905</v>
      </c>
      <c r="S29" s="33">
        <f>VLOOKUP($E29,'[1]5.2 附表1'!$E$29:$BC$60,S$2+1,)</f>
        <v>0.1905</v>
      </c>
      <c r="T29" s="35">
        <f>VLOOKUP($E29,'[1]5.2 附表1'!$E$29:$BC$60,T$2+1,)</f>
        <v>0.1905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0</v>
      </c>
      <c r="AH29" s="31">
        <v>0</v>
      </c>
      <c r="AI29" s="31">
        <v>0</v>
      </c>
      <c r="AJ29" s="31">
        <v>0</v>
      </c>
    </row>
    <row r="30" spans="1:37" ht="16" thickTop="1" thickBot="1">
      <c r="A30" s="5"/>
      <c r="C30" s="21" t="s">
        <v>15</v>
      </c>
      <c r="D30" s="11" t="str">
        <f>[1]对照表!$B$9</f>
        <v>Steel (BF-BOF route)</v>
      </c>
      <c r="E30" s="20" t="str">
        <f t="shared" si="1"/>
        <v>BAUSteel (BF-BOF route)</v>
      </c>
      <c r="F30" s="32">
        <f>VLOOKUP($E30,'[1]5.2 附表1'!$E$29:$BC$60,F$2+1,)</f>
        <v>1.7825808000000001</v>
      </c>
      <c r="G30" s="33">
        <f>VLOOKUP($E30,'[1]5.2 附表1'!$E$29:$BC$60,G$2+1,)</f>
        <v>1.7131296</v>
      </c>
      <c r="H30" s="33">
        <f>VLOOKUP($E30,'[1]5.2 附表1'!$E$29:$BC$60,H$2+1,)</f>
        <v>1.7131296</v>
      </c>
      <c r="I30" s="33">
        <f>VLOOKUP($E30,'[1]5.2 附表1'!$E$29:$BC$60,I$2+1,)</f>
        <v>1.7131296</v>
      </c>
      <c r="J30" s="33">
        <f>VLOOKUP($E30,'[1]5.2 附表1'!$E$29:$BC$60,J$2+1,)</f>
        <v>1.7131296</v>
      </c>
      <c r="K30" s="33">
        <f>VLOOKUP($E30,'[1]5.2 附表1'!$E$29:$BC$60,K$2+1,)</f>
        <v>1.7131296</v>
      </c>
      <c r="L30" s="34">
        <f>VLOOKUP($E30,'[1]5.2 附表1'!$E$29:$BC$60,L$2+1,)</f>
        <v>1.626012864</v>
      </c>
      <c r="M30" s="33">
        <f>VLOOKUP($E30,'[1]5.2 附表1'!$E$29:$BC$60,M$2+1,)</f>
        <v>1.626012864</v>
      </c>
      <c r="N30" s="33">
        <f>VLOOKUP($E30,'[1]5.2 附表1'!$E$29:$BC$60,N$2+1,)</f>
        <v>1.626012864</v>
      </c>
      <c r="O30" s="33">
        <f>VLOOKUP($E30,'[1]5.2 附表1'!$E$29:$BC$60,O$2+1,)</f>
        <v>1.626012864</v>
      </c>
      <c r="P30" s="35">
        <f>VLOOKUP($E30,'[1]5.2 附表1'!$E$29:$BC$60,P$2+1,)</f>
        <v>1.626012864</v>
      </c>
      <c r="Q30" s="33">
        <f>VLOOKUP($E30,'[1]5.2 附表1'!$E$29:$BC$60,Q$2+1,)</f>
        <v>1.5868708800000002</v>
      </c>
      <c r="R30" s="33">
        <f>VLOOKUP($E30,'[1]5.2 附表1'!$E$29:$BC$60,R$2+1,)</f>
        <v>1.5868708800000002</v>
      </c>
      <c r="S30" s="33">
        <f>VLOOKUP($E30,'[1]5.2 附表1'!$E$29:$BC$60,S$2+1,)</f>
        <v>1.5868708800000002</v>
      </c>
      <c r="T30" s="35">
        <f>VLOOKUP($E30,'[1]5.2 附表1'!$E$29:$BC$60,T$2+1,)</f>
        <v>1.5868708800000002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  <c r="AC30" s="31">
        <v>0</v>
      </c>
      <c r="AD30" s="31">
        <v>0</v>
      </c>
      <c r="AE30" s="31">
        <v>0</v>
      </c>
      <c r="AF30" s="31">
        <v>0</v>
      </c>
      <c r="AG30" s="31">
        <v>0</v>
      </c>
      <c r="AH30" s="31">
        <v>0</v>
      </c>
      <c r="AI30" s="31">
        <v>0</v>
      </c>
      <c r="AJ30" s="31">
        <v>0</v>
      </c>
    </row>
    <row r="31" spans="1:37" ht="16" thickTop="1" thickBot="1">
      <c r="A31" s="5"/>
      <c r="C31" s="21" t="s">
        <v>15</v>
      </c>
      <c r="D31" s="11" t="str">
        <f>[1]对照表!$B$10</f>
        <v>Steel (DRI-EAF route)</v>
      </c>
      <c r="E31" s="20" t="str">
        <f t="shared" si="1"/>
        <v>BAUSteel (DRI-EAF route)</v>
      </c>
      <c r="F31" s="32">
        <f>VLOOKUP($E31,'[1]5.2 附表1'!$E$29:$BC$60,F$2+1,)</f>
        <v>0.59109999999999996</v>
      </c>
      <c r="G31" s="33">
        <f>VLOOKUP($E31,'[1]5.2 附表1'!$E$29:$BC$60,G$2+1,)</f>
        <v>0.49270000000000003</v>
      </c>
      <c r="H31" s="33">
        <f>VLOOKUP($E31,'[1]5.2 附表1'!$E$29:$BC$60,H$2+1,)</f>
        <v>0.49270000000000003</v>
      </c>
      <c r="I31" s="33">
        <f>VLOOKUP($E31,'[1]5.2 附表1'!$E$29:$BC$60,I$2+1,)</f>
        <v>0.49270000000000003</v>
      </c>
      <c r="J31" s="33">
        <f>VLOOKUP($E31,'[1]5.2 附表1'!$E$29:$BC$60,J$2+1,)</f>
        <v>0.49270000000000003</v>
      </c>
      <c r="K31" s="33">
        <f>VLOOKUP($E31,'[1]5.2 附表1'!$E$29:$BC$60,K$2+1,)</f>
        <v>0.49270000000000003</v>
      </c>
      <c r="L31" s="34">
        <f>VLOOKUP($E31,'[1]5.2 附表1'!$E$29:$BC$60,L$2+1,)</f>
        <v>0.40194799999999997</v>
      </c>
      <c r="M31" s="33">
        <f>VLOOKUP($E31,'[1]5.2 附表1'!$E$29:$BC$60,M$2+1,)</f>
        <v>0.40194799999999997</v>
      </c>
      <c r="N31" s="33">
        <f>VLOOKUP($E31,'[1]5.2 附表1'!$E$29:$BC$60,N$2+1,)</f>
        <v>0.40194799999999997</v>
      </c>
      <c r="O31" s="33">
        <f>VLOOKUP($E31,'[1]5.2 附表1'!$E$29:$BC$60,O$2+1,)</f>
        <v>0.40194799999999997</v>
      </c>
      <c r="P31" s="35">
        <f>VLOOKUP($E31,'[1]5.2 附表1'!$E$29:$BC$60,P$2+1,)</f>
        <v>0.40194799999999997</v>
      </c>
      <c r="Q31" s="33">
        <f>VLOOKUP($E31,'[1]5.2 附表1'!$E$29:$BC$60,Q$2+1,)</f>
        <v>0.35466000000000003</v>
      </c>
      <c r="R31" s="33">
        <f>VLOOKUP($E31,'[1]5.2 附表1'!$E$29:$BC$60,R$2+1,)</f>
        <v>0.35466000000000003</v>
      </c>
      <c r="S31" s="33">
        <f>VLOOKUP($E31,'[1]5.2 附表1'!$E$29:$BC$60,S$2+1,)</f>
        <v>0.35466000000000003</v>
      </c>
      <c r="T31" s="35">
        <f>VLOOKUP($E31,'[1]5.2 附表1'!$E$29:$BC$60,T$2+1,)</f>
        <v>0.35466000000000003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0</v>
      </c>
      <c r="AF31" s="31">
        <v>0</v>
      </c>
      <c r="AG31" s="31">
        <v>0</v>
      </c>
      <c r="AH31" s="31">
        <v>0</v>
      </c>
      <c r="AI31" s="31">
        <v>0</v>
      </c>
      <c r="AJ31" s="31">
        <v>0</v>
      </c>
    </row>
    <row r="32" spans="1:37" ht="15" customHeight="1" thickTop="1" thickBot="1">
      <c r="A32" s="5"/>
      <c r="C32" s="21" t="s">
        <v>15</v>
      </c>
      <c r="D32" s="11" t="str">
        <f>[1]对照表!$B$11</f>
        <v>Steel (Scrap-EAF route)</v>
      </c>
      <c r="E32" s="20" t="str">
        <f t="shared" si="1"/>
        <v>BAUSteel (Scrap-EAF route)</v>
      </c>
      <c r="F32" s="36">
        <f>VLOOKUP($E32,'[1]5.2 附表1'!$E$29:$BC$60,F$2+1,)</f>
        <v>0.32500000000000001</v>
      </c>
      <c r="G32" s="37">
        <f>VLOOKUP($E32,'[1]5.2 附表1'!$E$29:$BC$60,G$2+1,)</f>
        <v>0.28199999999999997</v>
      </c>
      <c r="H32" s="37">
        <f>VLOOKUP($E32,'[1]5.2 附表1'!$E$29:$BC$60,H$2+1,)</f>
        <v>0.28199999999999997</v>
      </c>
      <c r="I32" s="37">
        <f>VLOOKUP($E32,'[1]5.2 附表1'!$E$29:$BC$60,I$2+1,)</f>
        <v>0.28199999999999997</v>
      </c>
      <c r="J32" s="37">
        <f>VLOOKUP($E32,'[1]5.2 附表1'!$E$29:$BC$60,J$2+1,)</f>
        <v>0.28199999999999997</v>
      </c>
      <c r="K32" s="37">
        <f>VLOOKUP($E32,'[1]5.2 附表1'!$E$29:$BC$60,K$2+1,)</f>
        <v>0.28199999999999997</v>
      </c>
      <c r="L32" s="38">
        <f>VLOOKUP($E32,'[1]5.2 附表1'!$E$29:$BC$60,L$2+1,)</f>
        <v>0.221</v>
      </c>
      <c r="M32" s="37">
        <f>VLOOKUP($E32,'[1]5.2 附表1'!$E$29:$BC$60,M$2+1,)</f>
        <v>0.221</v>
      </c>
      <c r="N32" s="37">
        <f>VLOOKUP($E32,'[1]5.2 附表1'!$E$29:$BC$60,N$2+1,)</f>
        <v>0.221</v>
      </c>
      <c r="O32" s="37">
        <f>VLOOKUP($E32,'[1]5.2 附表1'!$E$29:$BC$60,O$2+1,)</f>
        <v>0.221</v>
      </c>
      <c r="P32" s="39">
        <f>VLOOKUP($E32,'[1]5.2 附表1'!$E$29:$BC$60,P$2+1,)</f>
        <v>0.221</v>
      </c>
      <c r="Q32" s="37">
        <f>VLOOKUP($E32,'[1]5.2 附表1'!$E$29:$BC$60,Q$2+1,)</f>
        <v>0.19500000000000001</v>
      </c>
      <c r="R32" s="37">
        <f>VLOOKUP($E32,'[1]5.2 附表1'!$E$29:$BC$60,R$2+1,)</f>
        <v>0.19500000000000001</v>
      </c>
      <c r="S32" s="37">
        <f>VLOOKUP($E32,'[1]5.2 附表1'!$E$29:$BC$60,S$2+1,)</f>
        <v>0.19500000000000001</v>
      </c>
      <c r="T32" s="39">
        <f>VLOOKUP($E32,'[1]5.2 附表1'!$E$29:$BC$60,T$2+1,)</f>
        <v>0.19500000000000001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  <c r="AC32" s="31">
        <v>0</v>
      </c>
      <c r="AD32" s="31">
        <v>0</v>
      </c>
      <c r="AE32" s="31">
        <v>0</v>
      </c>
      <c r="AF32" s="31">
        <v>0</v>
      </c>
      <c r="AG32" s="31">
        <v>0</v>
      </c>
      <c r="AH32" s="31">
        <v>0</v>
      </c>
      <c r="AI32" s="31">
        <v>0</v>
      </c>
      <c r="AJ32" s="31">
        <v>0</v>
      </c>
    </row>
    <row r="33" spans="1:36" ht="15" thickBot="1">
      <c r="A33" s="5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spans="1:36" ht="16" thickTop="1" thickBot="1">
      <c r="A34" s="5"/>
      <c r="C34" s="21" t="s">
        <v>16</v>
      </c>
      <c r="D34" s="11" t="s">
        <v>17</v>
      </c>
      <c r="E34" s="20" t="str">
        <f>C34&amp;D34</f>
        <v>DCSSintered ore</v>
      </c>
      <c r="F34" s="27">
        <f>VLOOKUP($E34,'[1]5.2 附表1'!$E$29:$BC$60,F$2+1,)</f>
        <v>0.17100000000000001</v>
      </c>
      <c r="G34" s="28">
        <f>VLOOKUP($E34,'[1]5.2 附表1'!$E$29:$BC$60,G$2+1,)</f>
        <v>0.157</v>
      </c>
      <c r="H34" s="28">
        <f>VLOOKUP($E34,'[1]5.2 附表1'!$E$29:$BC$60,H$2+1,)</f>
        <v>0.157</v>
      </c>
      <c r="I34" s="28">
        <f>VLOOKUP($E34,'[1]5.2 附表1'!$E$29:$BC$60,I$2+1,)</f>
        <v>0.157</v>
      </c>
      <c r="J34" s="28">
        <f>VLOOKUP($E34,'[1]5.2 附表1'!$E$29:$BC$60,J$2+1,)</f>
        <v>0.157</v>
      </c>
      <c r="K34" s="28">
        <f>VLOOKUP($E34,'[1]5.2 附表1'!$E$29:$BC$60,K$2+1,)</f>
        <v>0.157</v>
      </c>
      <c r="L34" s="29">
        <f>VLOOKUP($E34,'[1]5.2 附表1'!$E$29:$BC$60,L$2+1,)</f>
        <v>0.10260000000000001</v>
      </c>
      <c r="M34" s="28">
        <f>VLOOKUP($E34,'[1]5.2 附表1'!$E$29:$BC$60,M$2+1,)</f>
        <v>0.10260000000000001</v>
      </c>
      <c r="N34" s="28">
        <f>VLOOKUP($E34,'[1]5.2 附表1'!$E$29:$BC$60,N$2+1,)</f>
        <v>0.10260000000000001</v>
      </c>
      <c r="O34" s="28">
        <f>VLOOKUP($E34,'[1]5.2 附表1'!$E$29:$BC$60,O$2+1,)</f>
        <v>0.10260000000000001</v>
      </c>
      <c r="P34" s="30">
        <f>VLOOKUP($E34,'[1]5.2 附表1'!$E$29:$BC$60,P$2+1,)</f>
        <v>0.10260000000000001</v>
      </c>
      <c r="Q34" s="28">
        <f>VLOOKUP($E34,'[1]5.2 附表1'!$E$29:$BC$60,Q$2+1,)</f>
        <v>8.5500000000000007E-2</v>
      </c>
      <c r="R34" s="28">
        <f>VLOOKUP($E34,'[1]5.2 附表1'!$E$29:$BC$60,R$2+1,)</f>
        <v>8.5500000000000007E-2</v>
      </c>
      <c r="S34" s="28">
        <f>VLOOKUP($E34,'[1]5.2 附表1'!$E$29:$BC$60,S$2+1,)</f>
        <v>8.5500000000000007E-2</v>
      </c>
      <c r="T34" s="30">
        <f>VLOOKUP($E34,'[1]5.2 附表1'!$E$29:$BC$60,T$2+1,)</f>
        <v>8.5500000000000007E-2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  <c r="AC34" s="31">
        <v>0</v>
      </c>
      <c r="AD34" s="31">
        <v>0</v>
      </c>
      <c r="AE34" s="31">
        <v>0</v>
      </c>
      <c r="AF34" s="31">
        <v>0</v>
      </c>
      <c r="AG34" s="31">
        <v>0</v>
      </c>
      <c r="AH34" s="31">
        <v>0</v>
      </c>
      <c r="AI34" s="31">
        <v>0</v>
      </c>
      <c r="AJ34" s="31">
        <v>0</v>
      </c>
    </row>
    <row r="35" spans="1:36" ht="16" thickTop="1" thickBot="1">
      <c r="A35" s="5"/>
      <c r="C35" s="21" t="s">
        <v>16</v>
      </c>
      <c r="D35" s="11" t="s">
        <v>18</v>
      </c>
      <c r="E35" s="20" t="str">
        <f t="shared" ref="E35:E43" si="2">C35&amp;D35</f>
        <v>DCSAlloys</v>
      </c>
      <c r="F35" s="32">
        <f>VLOOKUP($E35,'[1]5.2 附表1'!$E$29:$BC$60,F$2+1,)</f>
        <v>0.20520000000000002</v>
      </c>
      <c r="G35" s="33">
        <f>VLOOKUP($E35,'[1]5.2 附表1'!$E$29:$BC$60,G$2+1,)</f>
        <v>0.18839999999999998</v>
      </c>
      <c r="H35" s="33">
        <f>VLOOKUP($E35,'[1]5.2 附表1'!$E$29:$BC$60,H$2+1,)</f>
        <v>0.18839999999999998</v>
      </c>
      <c r="I35" s="33">
        <f>VLOOKUP($E35,'[1]5.2 附表1'!$E$29:$BC$60,I$2+1,)</f>
        <v>0.18839999999999998</v>
      </c>
      <c r="J35" s="33">
        <f>VLOOKUP($E35,'[1]5.2 附表1'!$E$29:$BC$60,J$2+1,)</f>
        <v>0.18839999999999998</v>
      </c>
      <c r="K35" s="33">
        <f>VLOOKUP($E35,'[1]5.2 附表1'!$E$29:$BC$60,K$2+1,)</f>
        <v>0.18839999999999998</v>
      </c>
      <c r="L35" s="34">
        <f>VLOOKUP($E35,'[1]5.2 附表1'!$E$29:$BC$60,L$2+1,)</f>
        <v>0.12312000000000001</v>
      </c>
      <c r="M35" s="33">
        <f>VLOOKUP($E35,'[1]5.2 附表1'!$E$29:$BC$60,M$2+1,)</f>
        <v>0.12312000000000001</v>
      </c>
      <c r="N35" s="33">
        <f>VLOOKUP($E35,'[1]5.2 附表1'!$E$29:$BC$60,N$2+1,)</f>
        <v>0.12312000000000001</v>
      </c>
      <c r="O35" s="33">
        <f>VLOOKUP($E35,'[1]5.2 附表1'!$E$29:$BC$60,O$2+1,)</f>
        <v>0.12312000000000001</v>
      </c>
      <c r="P35" s="35">
        <f>VLOOKUP($E35,'[1]5.2 附表1'!$E$29:$BC$60,P$2+1,)</f>
        <v>0.12312000000000001</v>
      </c>
      <c r="Q35" s="33">
        <f>VLOOKUP($E35,'[1]5.2 附表1'!$E$29:$BC$60,Q$2+1,)</f>
        <v>0.10260000000000001</v>
      </c>
      <c r="R35" s="33">
        <f>VLOOKUP($E35,'[1]5.2 附表1'!$E$29:$BC$60,R$2+1,)</f>
        <v>0.10260000000000001</v>
      </c>
      <c r="S35" s="33">
        <f>VLOOKUP($E35,'[1]5.2 附表1'!$E$29:$BC$60,S$2+1,)</f>
        <v>0.10260000000000001</v>
      </c>
      <c r="T35" s="35">
        <f>VLOOKUP($E35,'[1]5.2 附表1'!$E$29:$BC$60,T$2+1,)</f>
        <v>0.10260000000000001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  <c r="AC35" s="31">
        <v>0</v>
      </c>
      <c r="AD35" s="31">
        <v>0</v>
      </c>
      <c r="AE35" s="31">
        <v>0</v>
      </c>
      <c r="AF35" s="31">
        <v>0</v>
      </c>
      <c r="AG35" s="31">
        <v>0</v>
      </c>
      <c r="AH35" s="31">
        <v>0</v>
      </c>
      <c r="AI35" s="31">
        <v>0</v>
      </c>
      <c r="AJ35" s="31">
        <v>0</v>
      </c>
    </row>
    <row r="36" spans="1:36" ht="16" thickTop="1" thickBot="1">
      <c r="A36" s="5"/>
      <c r="C36" s="21" t="s">
        <v>16</v>
      </c>
      <c r="D36" s="11" t="s">
        <v>19</v>
      </c>
      <c r="E36" s="20" t="str">
        <f t="shared" si="2"/>
        <v>DCSPig iron (BF)</v>
      </c>
      <c r="F36" s="32">
        <f>VLOOKUP($E36,'[1]5.2 附表1'!$E$29:$BC$60,F$2+1,)</f>
        <v>1.3280000000000001</v>
      </c>
      <c r="G36" s="33">
        <f>VLOOKUP($E36,'[1]5.2 附表1'!$E$29:$BC$60,G$2+1,)</f>
        <v>1.288</v>
      </c>
      <c r="H36" s="33">
        <f>VLOOKUP($E36,'[1]5.2 附表1'!$E$29:$BC$60,H$2+1,)</f>
        <v>1.288</v>
      </c>
      <c r="I36" s="33">
        <f>VLOOKUP($E36,'[1]5.2 附表1'!$E$29:$BC$60,I$2+1,)</f>
        <v>1.288</v>
      </c>
      <c r="J36" s="33">
        <f>VLOOKUP($E36,'[1]5.2 附表1'!$E$29:$BC$60,J$2+1,)</f>
        <v>1.288</v>
      </c>
      <c r="K36" s="33">
        <f>VLOOKUP($E36,'[1]5.2 附表1'!$E$29:$BC$60,K$2+1,)</f>
        <v>1.288</v>
      </c>
      <c r="L36" s="34">
        <f>VLOOKUP($E36,'[1]5.2 附表1'!$E$29:$BC$60,L$2+1,)</f>
        <v>1.2350400000000001</v>
      </c>
      <c r="M36" s="33">
        <f>VLOOKUP($E36,'[1]5.2 附表1'!$E$29:$BC$60,M$2+1,)</f>
        <v>1.2350400000000001</v>
      </c>
      <c r="N36" s="33">
        <f>VLOOKUP($E36,'[1]5.2 附表1'!$E$29:$BC$60,N$2+1,)</f>
        <v>1.2350400000000001</v>
      </c>
      <c r="O36" s="33">
        <f>VLOOKUP($E36,'[1]5.2 附表1'!$E$29:$BC$60,O$2+1,)</f>
        <v>1.2350400000000001</v>
      </c>
      <c r="P36" s="35">
        <f>VLOOKUP($E36,'[1]5.2 附表1'!$E$29:$BC$60,P$2+1,)</f>
        <v>1.2350400000000001</v>
      </c>
      <c r="Q36" s="33">
        <f>VLOOKUP($E36,'[1]5.2 附表1'!$E$29:$BC$60,Q$2+1,)</f>
        <v>1.2118000000000002</v>
      </c>
      <c r="R36" s="33">
        <f>VLOOKUP($E36,'[1]5.2 附表1'!$E$29:$BC$60,R$2+1,)</f>
        <v>1.2118000000000002</v>
      </c>
      <c r="S36" s="33">
        <f>VLOOKUP($E36,'[1]5.2 附表1'!$E$29:$BC$60,S$2+1,)</f>
        <v>1.2118000000000002</v>
      </c>
      <c r="T36" s="35">
        <f>VLOOKUP($E36,'[1]5.2 附表1'!$E$29:$BC$60,T$2+1,)</f>
        <v>1.2118000000000002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  <c r="AC36" s="31">
        <v>0</v>
      </c>
      <c r="AD36" s="31">
        <v>0</v>
      </c>
      <c r="AE36" s="31">
        <v>0</v>
      </c>
      <c r="AF36" s="31">
        <v>0</v>
      </c>
      <c r="AG36" s="31">
        <v>0</v>
      </c>
      <c r="AH36" s="31">
        <v>0</v>
      </c>
      <c r="AI36" s="31">
        <v>0</v>
      </c>
      <c r="AJ36" s="31">
        <v>0</v>
      </c>
    </row>
    <row r="37" spans="1:36" ht="15" customHeight="1" thickTop="1" thickBot="1">
      <c r="A37" s="5"/>
      <c r="C37" s="21" t="s">
        <v>16</v>
      </c>
      <c r="D37" s="11" t="s">
        <v>20</v>
      </c>
      <c r="E37" s="20" t="str">
        <f t="shared" si="2"/>
        <v>DCSPig iron (smelting reduction)</v>
      </c>
      <c r="F37" s="32">
        <f>VLOOKUP($E37,'[1]5.2 附表1'!$E$29:$BC$60,F$2+1,)</f>
        <v>0.27360000000000001</v>
      </c>
      <c r="G37" s="33">
        <f>VLOOKUP($E37,'[1]5.2 附表1'!$E$29:$BC$60,G$2+1,)</f>
        <v>0.25120000000000003</v>
      </c>
      <c r="H37" s="33">
        <f>VLOOKUP($E37,'[1]5.2 附表1'!$E$29:$BC$60,H$2+1,)</f>
        <v>0.25120000000000003</v>
      </c>
      <c r="I37" s="33">
        <f>VLOOKUP($E37,'[1]5.2 附表1'!$E$29:$BC$60,I$2+1,)</f>
        <v>0.25120000000000003</v>
      </c>
      <c r="J37" s="33">
        <f>VLOOKUP($E37,'[1]5.2 附表1'!$E$29:$BC$60,J$2+1,)</f>
        <v>0.25120000000000003</v>
      </c>
      <c r="K37" s="33">
        <f>VLOOKUP($E37,'[1]5.2 附表1'!$E$29:$BC$60,K$2+1,)</f>
        <v>0.25120000000000003</v>
      </c>
      <c r="L37" s="34">
        <f>VLOOKUP($E37,'[1]5.2 附表1'!$E$29:$BC$60,L$2+1,)</f>
        <v>0.16416000000000003</v>
      </c>
      <c r="M37" s="33">
        <f>VLOOKUP($E37,'[1]5.2 附表1'!$E$29:$BC$60,M$2+1,)</f>
        <v>0.16416000000000003</v>
      </c>
      <c r="N37" s="33">
        <f>VLOOKUP($E37,'[1]5.2 附表1'!$E$29:$BC$60,N$2+1,)</f>
        <v>0.16416000000000003</v>
      </c>
      <c r="O37" s="33">
        <f>VLOOKUP($E37,'[1]5.2 附表1'!$E$29:$BC$60,O$2+1,)</f>
        <v>0.16416000000000003</v>
      </c>
      <c r="P37" s="35">
        <f>VLOOKUP($E37,'[1]5.2 附表1'!$E$29:$BC$60,P$2+1,)</f>
        <v>0.16416000000000003</v>
      </c>
      <c r="Q37" s="33">
        <f>VLOOKUP($E37,'[1]5.2 附表1'!$E$29:$BC$60,Q$2+1,)</f>
        <v>0.1368</v>
      </c>
      <c r="R37" s="33">
        <f>VLOOKUP($E37,'[1]5.2 附表1'!$E$29:$BC$60,R$2+1,)</f>
        <v>0.1368</v>
      </c>
      <c r="S37" s="33">
        <f>VLOOKUP($E37,'[1]5.2 附表1'!$E$29:$BC$60,S$2+1,)</f>
        <v>0.1368</v>
      </c>
      <c r="T37" s="35">
        <f>VLOOKUP($E37,'[1]5.2 附表1'!$E$29:$BC$60,T$2+1,)</f>
        <v>0.1368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  <c r="AC37" s="31">
        <v>0</v>
      </c>
      <c r="AD37" s="31">
        <v>0</v>
      </c>
      <c r="AE37" s="31">
        <v>0</v>
      </c>
      <c r="AF37" s="31">
        <v>0</v>
      </c>
      <c r="AG37" s="31">
        <v>0</v>
      </c>
      <c r="AH37" s="31">
        <v>0</v>
      </c>
      <c r="AI37" s="31">
        <v>0</v>
      </c>
      <c r="AJ37" s="31">
        <v>0</v>
      </c>
    </row>
    <row r="38" spans="1:36" ht="16" thickTop="1" thickBot="1">
      <c r="A38" s="5"/>
      <c r="C38" s="21" t="s">
        <v>16</v>
      </c>
      <c r="D38" s="11" t="s">
        <v>21</v>
      </c>
      <c r="E38" s="20" t="str">
        <f t="shared" si="2"/>
        <v>DCSDRI</v>
      </c>
      <c r="F38" s="32">
        <f>VLOOKUP($E38,'[1]5.2 附表1'!$E$29:$BC$60,F$2+1,)</f>
        <v>0.27360000000000001</v>
      </c>
      <c r="G38" s="33">
        <f>VLOOKUP($E38,'[1]5.2 附表1'!$E$29:$BC$60,G$2+1,)</f>
        <v>0.25120000000000003</v>
      </c>
      <c r="H38" s="33">
        <f>VLOOKUP($E38,'[1]5.2 附表1'!$E$29:$BC$60,H$2+1,)</f>
        <v>0.25120000000000003</v>
      </c>
      <c r="I38" s="33">
        <f>VLOOKUP($E38,'[1]5.2 附表1'!$E$29:$BC$60,I$2+1,)</f>
        <v>0.25120000000000003</v>
      </c>
      <c r="J38" s="33">
        <f>VLOOKUP($E38,'[1]5.2 附表1'!$E$29:$BC$60,J$2+1,)</f>
        <v>0.25120000000000003</v>
      </c>
      <c r="K38" s="33">
        <f>VLOOKUP($E38,'[1]5.2 附表1'!$E$29:$BC$60,K$2+1,)</f>
        <v>0.25120000000000003</v>
      </c>
      <c r="L38" s="34">
        <f>VLOOKUP($E38,'[1]5.2 附表1'!$E$29:$BC$60,L$2+1,)</f>
        <v>0.16416000000000003</v>
      </c>
      <c r="M38" s="33">
        <f>VLOOKUP($E38,'[1]5.2 附表1'!$E$29:$BC$60,M$2+1,)</f>
        <v>0.16416000000000003</v>
      </c>
      <c r="N38" s="33">
        <f>VLOOKUP($E38,'[1]5.2 附表1'!$E$29:$BC$60,N$2+1,)</f>
        <v>0.16416000000000003</v>
      </c>
      <c r="O38" s="33">
        <f>VLOOKUP($E38,'[1]5.2 附表1'!$E$29:$BC$60,O$2+1,)</f>
        <v>0.16416000000000003</v>
      </c>
      <c r="P38" s="35">
        <f>VLOOKUP($E38,'[1]5.2 附表1'!$E$29:$BC$60,P$2+1,)</f>
        <v>0.16416000000000003</v>
      </c>
      <c r="Q38" s="33">
        <f>VLOOKUP($E38,'[1]5.2 附表1'!$E$29:$BC$60,Q$2+1,)</f>
        <v>0.1368</v>
      </c>
      <c r="R38" s="33">
        <f>VLOOKUP($E38,'[1]5.2 附表1'!$E$29:$BC$60,R$2+1,)</f>
        <v>0.1368</v>
      </c>
      <c r="S38" s="33">
        <f>VLOOKUP($E38,'[1]5.2 附表1'!$E$29:$BC$60,S$2+1,)</f>
        <v>0.1368</v>
      </c>
      <c r="T38" s="35">
        <f>VLOOKUP($E38,'[1]5.2 附表1'!$E$29:$BC$60,T$2+1,)</f>
        <v>0.1368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  <c r="AC38" s="31">
        <v>0</v>
      </c>
      <c r="AD38" s="31">
        <v>0</v>
      </c>
      <c r="AE38" s="31">
        <v>0</v>
      </c>
      <c r="AF38" s="31">
        <v>0</v>
      </c>
      <c r="AG38" s="31">
        <v>0</v>
      </c>
      <c r="AH38" s="31">
        <v>0</v>
      </c>
      <c r="AI38" s="31">
        <v>0</v>
      </c>
      <c r="AJ38" s="31">
        <v>0</v>
      </c>
    </row>
    <row r="39" spans="1:36" ht="16" thickTop="1" thickBot="1">
      <c r="A39" s="5"/>
      <c r="C39" s="21" t="s">
        <v>16</v>
      </c>
      <c r="D39" s="11" t="s">
        <v>22</v>
      </c>
      <c r="E39" s="20" t="str">
        <f t="shared" si="2"/>
        <v>DCSCrude steel (BOF route)</v>
      </c>
      <c r="F39" s="32">
        <f>VLOOKUP($E39,'[1]5.2 附表1'!$E$29:$BC$60,F$2+1,)</f>
        <v>1.6016000000000001</v>
      </c>
      <c r="G39" s="33">
        <f>VLOOKUP($E39,'[1]5.2 附表1'!$E$29:$BC$60,G$2+1,)</f>
        <v>1.5392000000000001</v>
      </c>
      <c r="H39" s="33">
        <f>VLOOKUP($E39,'[1]5.2 附表1'!$E$29:$BC$60,H$2+1,)</f>
        <v>1.5392000000000001</v>
      </c>
      <c r="I39" s="33">
        <f>VLOOKUP($E39,'[1]5.2 附表1'!$E$29:$BC$60,I$2+1,)</f>
        <v>1.5392000000000001</v>
      </c>
      <c r="J39" s="33">
        <f>VLOOKUP($E39,'[1]5.2 附表1'!$E$29:$BC$60,J$2+1,)</f>
        <v>1.5392000000000001</v>
      </c>
      <c r="K39" s="33">
        <f>VLOOKUP($E39,'[1]5.2 附表1'!$E$29:$BC$60,K$2+1,)</f>
        <v>1.5392000000000001</v>
      </c>
      <c r="L39" s="34">
        <f>VLOOKUP($E39,'[1]5.2 附表1'!$E$29:$BC$60,L$2+1,)</f>
        <v>1.3992000000000002</v>
      </c>
      <c r="M39" s="33">
        <f>VLOOKUP($E39,'[1]5.2 附表1'!$E$29:$BC$60,M$2+1,)</f>
        <v>1.3992000000000002</v>
      </c>
      <c r="N39" s="33">
        <f>VLOOKUP($E39,'[1]5.2 附表1'!$E$29:$BC$60,N$2+1,)</f>
        <v>1.3992000000000002</v>
      </c>
      <c r="O39" s="33">
        <f>VLOOKUP($E39,'[1]5.2 附表1'!$E$29:$BC$60,O$2+1,)</f>
        <v>1.3992000000000002</v>
      </c>
      <c r="P39" s="35">
        <f>VLOOKUP($E39,'[1]5.2 附表1'!$E$29:$BC$60,P$2+1,)</f>
        <v>1.3992000000000002</v>
      </c>
      <c r="Q39" s="33">
        <f>VLOOKUP($E39,'[1]5.2 附表1'!$E$29:$BC$60,Q$2+1,)</f>
        <v>1.3486000000000002</v>
      </c>
      <c r="R39" s="33">
        <f>VLOOKUP($E39,'[1]5.2 附表1'!$E$29:$BC$60,R$2+1,)</f>
        <v>1.3486000000000002</v>
      </c>
      <c r="S39" s="33">
        <f>VLOOKUP($E39,'[1]5.2 附表1'!$E$29:$BC$60,S$2+1,)</f>
        <v>1.3486000000000002</v>
      </c>
      <c r="T39" s="35">
        <f>VLOOKUP($E39,'[1]5.2 附表1'!$E$29:$BC$60,T$2+1,)</f>
        <v>1.3486000000000002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  <c r="AC39" s="31">
        <v>0</v>
      </c>
      <c r="AD39" s="31">
        <v>0</v>
      </c>
      <c r="AE39" s="31">
        <v>0</v>
      </c>
      <c r="AF39" s="31">
        <v>0</v>
      </c>
      <c r="AG39" s="31">
        <v>0</v>
      </c>
      <c r="AH39" s="31">
        <v>0</v>
      </c>
      <c r="AI39" s="31">
        <v>0</v>
      </c>
      <c r="AJ39" s="31">
        <v>0</v>
      </c>
    </row>
    <row r="40" spans="1:36" ht="16" thickTop="1" thickBot="1">
      <c r="A40" s="5"/>
      <c r="C40" s="21" t="s">
        <v>16</v>
      </c>
      <c r="D40" s="11" t="s">
        <v>23</v>
      </c>
      <c r="E40" s="20" t="str">
        <f t="shared" si="2"/>
        <v>DCSCrude steel (EAF route)</v>
      </c>
      <c r="F40" s="32">
        <f>VLOOKUP($E40,'[1]5.2 附表1'!$E$29:$BC$60,F$2+1,)</f>
        <v>0.3175</v>
      </c>
      <c r="G40" s="33">
        <f>VLOOKUP($E40,'[1]5.2 附表1'!$E$29:$BC$60,G$2+1,)</f>
        <v>0.24149999999999999</v>
      </c>
      <c r="H40" s="33">
        <f>VLOOKUP($E40,'[1]5.2 附表1'!$E$29:$BC$60,H$2+1,)</f>
        <v>0.24149999999999999</v>
      </c>
      <c r="I40" s="33">
        <f>VLOOKUP($E40,'[1]5.2 附表1'!$E$29:$BC$60,I$2+1,)</f>
        <v>0.24149999999999999</v>
      </c>
      <c r="J40" s="33">
        <f>VLOOKUP($E40,'[1]5.2 附表1'!$E$29:$BC$60,J$2+1,)</f>
        <v>0.24149999999999999</v>
      </c>
      <c r="K40" s="33">
        <f>VLOOKUP($E40,'[1]5.2 附表1'!$E$29:$BC$60,K$2+1,)</f>
        <v>0.24149999999999999</v>
      </c>
      <c r="L40" s="34">
        <f>VLOOKUP($E40,'[1]5.2 附表1'!$E$29:$BC$60,L$2+1,)</f>
        <v>0.1905</v>
      </c>
      <c r="M40" s="33">
        <f>VLOOKUP($E40,'[1]5.2 附表1'!$E$29:$BC$60,M$2+1,)</f>
        <v>0.1905</v>
      </c>
      <c r="N40" s="33">
        <f>VLOOKUP($E40,'[1]5.2 附表1'!$E$29:$BC$60,N$2+1,)</f>
        <v>0.1905</v>
      </c>
      <c r="O40" s="33">
        <f>VLOOKUP($E40,'[1]5.2 附表1'!$E$29:$BC$60,O$2+1,)</f>
        <v>0.1905</v>
      </c>
      <c r="P40" s="35">
        <f>VLOOKUP($E40,'[1]5.2 附表1'!$E$29:$BC$60,P$2+1,)</f>
        <v>0.1905</v>
      </c>
      <c r="Q40" s="33">
        <f>VLOOKUP($E40,'[1]5.2 附表1'!$E$29:$BC$60,Q$2+1,)</f>
        <v>0.15875</v>
      </c>
      <c r="R40" s="33">
        <f>VLOOKUP($E40,'[1]5.2 附表1'!$E$29:$BC$60,R$2+1,)</f>
        <v>0.15875</v>
      </c>
      <c r="S40" s="33">
        <f>VLOOKUP($E40,'[1]5.2 附表1'!$E$29:$BC$60,S$2+1,)</f>
        <v>0.15875</v>
      </c>
      <c r="T40" s="35">
        <f>VLOOKUP($E40,'[1]5.2 附表1'!$E$29:$BC$60,T$2+1,)</f>
        <v>0.15875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  <c r="AC40" s="31">
        <v>0</v>
      </c>
      <c r="AD40" s="31">
        <v>0</v>
      </c>
      <c r="AE40" s="31">
        <v>0</v>
      </c>
      <c r="AF40" s="31">
        <v>0</v>
      </c>
      <c r="AG40" s="31">
        <v>0</v>
      </c>
      <c r="AH40" s="31">
        <v>0</v>
      </c>
      <c r="AI40" s="31">
        <v>0</v>
      </c>
      <c r="AJ40" s="31">
        <v>0</v>
      </c>
    </row>
    <row r="41" spans="1:36" ht="16" thickTop="1" thickBot="1">
      <c r="A41" s="5"/>
      <c r="C41" s="21" t="s">
        <v>16</v>
      </c>
      <c r="D41" s="11" t="s">
        <v>24</v>
      </c>
      <c r="E41" s="20" t="str">
        <f t="shared" si="2"/>
        <v>DCSSteel (BF-BOF route)</v>
      </c>
      <c r="F41" s="32">
        <f>VLOOKUP($E41,'[1]5.2 附表1'!$E$29:$BC$60,F$2+1,)</f>
        <v>1.7825808000000001</v>
      </c>
      <c r="G41" s="33">
        <f>VLOOKUP($E41,'[1]5.2 附表1'!$E$29:$BC$60,G$2+1,)</f>
        <v>1.7131296</v>
      </c>
      <c r="H41" s="33">
        <f>VLOOKUP($E41,'[1]5.2 附表1'!$E$29:$BC$60,H$2+1,)</f>
        <v>1.7131296</v>
      </c>
      <c r="I41" s="33">
        <f>VLOOKUP($E41,'[1]5.2 附表1'!$E$29:$BC$60,I$2+1,)</f>
        <v>1.7131296</v>
      </c>
      <c r="J41" s="33">
        <f>VLOOKUP($E41,'[1]5.2 附表1'!$E$29:$BC$60,J$2+1,)</f>
        <v>1.7131296</v>
      </c>
      <c r="K41" s="33">
        <f>VLOOKUP($E41,'[1]5.2 附表1'!$E$29:$BC$60,K$2+1,)</f>
        <v>1.7131296</v>
      </c>
      <c r="L41" s="34">
        <f>VLOOKUP($E41,'[1]5.2 附表1'!$E$29:$BC$60,L$2+1,)</f>
        <v>1.5573096000000002</v>
      </c>
      <c r="M41" s="33">
        <f>VLOOKUP($E41,'[1]5.2 附表1'!$E$29:$BC$60,M$2+1,)</f>
        <v>1.5573096000000002</v>
      </c>
      <c r="N41" s="33">
        <f>VLOOKUP($E41,'[1]5.2 附表1'!$E$29:$BC$60,N$2+1,)</f>
        <v>1.5573096000000002</v>
      </c>
      <c r="O41" s="33">
        <f>VLOOKUP($E41,'[1]5.2 附表1'!$E$29:$BC$60,O$2+1,)</f>
        <v>1.5573096000000002</v>
      </c>
      <c r="P41" s="35">
        <f>VLOOKUP($E41,'[1]5.2 附表1'!$E$29:$BC$60,P$2+1,)</f>
        <v>1.5573096000000002</v>
      </c>
      <c r="Q41" s="33">
        <f>VLOOKUP($E41,'[1]5.2 附表1'!$E$29:$BC$60,Q$2+1,)</f>
        <v>1.5009918000000002</v>
      </c>
      <c r="R41" s="33">
        <f>VLOOKUP($E41,'[1]5.2 附表1'!$E$29:$BC$60,R$2+1,)</f>
        <v>1.5009918000000002</v>
      </c>
      <c r="S41" s="33">
        <f>VLOOKUP($E41,'[1]5.2 附表1'!$E$29:$BC$60,S$2+1,)</f>
        <v>1.5009918000000002</v>
      </c>
      <c r="T41" s="35">
        <f>VLOOKUP($E41,'[1]5.2 附表1'!$E$29:$BC$60,T$2+1,)</f>
        <v>1.5009918000000002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  <c r="AC41" s="31">
        <v>0</v>
      </c>
      <c r="AD41" s="31">
        <v>0</v>
      </c>
      <c r="AE41" s="31">
        <v>0</v>
      </c>
      <c r="AF41" s="31">
        <v>0</v>
      </c>
      <c r="AG41" s="31">
        <v>0</v>
      </c>
      <c r="AH41" s="31">
        <v>0</v>
      </c>
      <c r="AI41" s="31">
        <v>0</v>
      </c>
      <c r="AJ41" s="31">
        <v>0</v>
      </c>
    </row>
    <row r="42" spans="1:36" ht="16" thickTop="1" thickBot="1">
      <c r="A42" s="5"/>
      <c r="C42" s="21" t="s">
        <v>16</v>
      </c>
      <c r="D42" s="11" t="s">
        <v>25</v>
      </c>
      <c r="E42" s="20" t="str">
        <f t="shared" si="2"/>
        <v>DCSSteel (DRI-EAF route)</v>
      </c>
      <c r="F42" s="32">
        <f>VLOOKUP($E42,'[1]5.2 附表1'!$E$29:$BC$60,F$2+1,)</f>
        <v>0.59109999999999996</v>
      </c>
      <c r="G42" s="33">
        <f>VLOOKUP($E42,'[1]5.2 附表1'!$E$29:$BC$60,G$2+1,)</f>
        <v>0.49270000000000003</v>
      </c>
      <c r="H42" s="33">
        <f>VLOOKUP($E42,'[1]5.2 附表1'!$E$29:$BC$60,H$2+1,)</f>
        <v>0.49270000000000003</v>
      </c>
      <c r="I42" s="33">
        <f>VLOOKUP($E42,'[1]5.2 附表1'!$E$29:$BC$60,I$2+1,)</f>
        <v>0.49270000000000003</v>
      </c>
      <c r="J42" s="33">
        <f>VLOOKUP($E42,'[1]5.2 附表1'!$E$29:$BC$60,J$2+1,)</f>
        <v>0.49270000000000003</v>
      </c>
      <c r="K42" s="33">
        <f>VLOOKUP($E42,'[1]5.2 附表1'!$E$29:$BC$60,K$2+1,)</f>
        <v>0.49270000000000003</v>
      </c>
      <c r="L42" s="34">
        <f>VLOOKUP($E42,'[1]5.2 附表1'!$E$29:$BC$60,L$2+1,)</f>
        <v>0.35466000000000003</v>
      </c>
      <c r="M42" s="33">
        <f>VLOOKUP($E42,'[1]5.2 附表1'!$E$29:$BC$60,M$2+1,)</f>
        <v>0.35466000000000003</v>
      </c>
      <c r="N42" s="33">
        <f>VLOOKUP($E42,'[1]5.2 附表1'!$E$29:$BC$60,N$2+1,)</f>
        <v>0.35466000000000003</v>
      </c>
      <c r="O42" s="33">
        <f>VLOOKUP($E42,'[1]5.2 附表1'!$E$29:$BC$60,O$2+1,)</f>
        <v>0.35466000000000003</v>
      </c>
      <c r="P42" s="35">
        <f>VLOOKUP($E42,'[1]5.2 附表1'!$E$29:$BC$60,P$2+1,)</f>
        <v>0.35466000000000003</v>
      </c>
      <c r="Q42" s="33">
        <f>VLOOKUP($E42,'[1]5.2 附表1'!$E$29:$BC$60,Q$2+1,)</f>
        <v>0.29554999999999998</v>
      </c>
      <c r="R42" s="33">
        <f>VLOOKUP($E42,'[1]5.2 附表1'!$E$29:$BC$60,R$2+1,)</f>
        <v>0.29554999999999998</v>
      </c>
      <c r="S42" s="33">
        <f>VLOOKUP($E42,'[1]5.2 附表1'!$E$29:$BC$60,S$2+1,)</f>
        <v>0.29554999999999998</v>
      </c>
      <c r="T42" s="35">
        <f>VLOOKUP($E42,'[1]5.2 附表1'!$E$29:$BC$60,T$2+1,)</f>
        <v>0.29554999999999998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0</v>
      </c>
      <c r="AC42" s="31">
        <v>0</v>
      </c>
      <c r="AD42" s="31">
        <v>0</v>
      </c>
      <c r="AE42" s="31">
        <v>0</v>
      </c>
      <c r="AF42" s="31">
        <v>0</v>
      </c>
      <c r="AG42" s="31">
        <v>0</v>
      </c>
      <c r="AH42" s="31">
        <v>0</v>
      </c>
      <c r="AI42" s="31">
        <v>0</v>
      </c>
      <c r="AJ42" s="31">
        <v>0</v>
      </c>
    </row>
    <row r="43" spans="1:36" ht="16" thickTop="1" thickBot="1">
      <c r="A43" s="5"/>
      <c r="C43" s="21" t="s">
        <v>16</v>
      </c>
      <c r="D43" s="11" t="s">
        <v>26</v>
      </c>
      <c r="E43" s="20" t="str">
        <f t="shared" si="2"/>
        <v>DCSSteel (Scrap-EAF route)</v>
      </c>
      <c r="F43" s="36">
        <f>VLOOKUP($E43,'[1]5.2 附表1'!$E$29:$BC$60,F$2+1,)</f>
        <v>0.32500000000000001</v>
      </c>
      <c r="G43" s="37">
        <f>VLOOKUP($E43,'[1]5.2 附表1'!$E$29:$BC$60,G$2+1,)</f>
        <v>0.28199999999999997</v>
      </c>
      <c r="H43" s="37">
        <f>VLOOKUP($E43,'[1]5.2 附表1'!$E$29:$BC$60,H$2+1,)</f>
        <v>0.28199999999999997</v>
      </c>
      <c r="I43" s="37">
        <f>VLOOKUP($E43,'[1]5.2 附表1'!$E$29:$BC$60,I$2+1,)</f>
        <v>0.28199999999999997</v>
      </c>
      <c r="J43" s="37">
        <f>VLOOKUP($E43,'[1]5.2 附表1'!$E$29:$BC$60,J$2+1,)</f>
        <v>0.28199999999999997</v>
      </c>
      <c r="K43" s="37">
        <f>VLOOKUP($E43,'[1]5.2 附表1'!$E$29:$BC$60,K$2+1,)</f>
        <v>0.28199999999999997</v>
      </c>
      <c r="L43" s="38">
        <f>VLOOKUP($E43,'[1]5.2 附表1'!$E$29:$BC$60,L$2+1,)</f>
        <v>0.19500000000000001</v>
      </c>
      <c r="M43" s="37">
        <f>VLOOKUP($E43,'[1]5.2 附表1'!$E$29:$BC$60,M$2+1,)</f>
        <v>0.19500000000000001</v>
      </c>
      <c r="N43" s="37">
        <f>VLOOKUP($E43,'[1]5.2 附表1'!$E$29:$BC$60,N$2+1,)</f>
        <v>0.19500000000000001</v>
      </c>
      <c r="O43" s="37">
        <f>VLOOKUP($E43,'[1]5.2 附表1'!$E$29:$BC$60,O$2+1,)</f>
        <v>0.19500000000000001</v>
      </c>
      <c r="P43" s="39">
        <f>VLOOKUP($E43,'[1]5.2 附表1'!$E$29:$BC$60,P$2+1,)</f>
        <v>0.19500000000000001</v>
      </c>
      <c r="Q43" s="37">
        <f>VLOOKUP($E43,'[1]5.2 附表1'!$E$29:$BC$60,Q$2+1,)</f>
        <v>0.16250000000000001</v>
      </c>
      <c r="R43" s="37">
        <f>VLOOKUP($E43,'[1]5.2 附表1'!$E$29:$BC$60,R$2+1,)</f>
        <v>0.16250000000000001</v>
      </c>
      <c r="S43" s="37">
        <f>VLOOKUP($E43,'[1]5.2 附表1'!$E$29:$BC$60,S$2+1,)</f>
        <v>0.16250000000000001</v>
      </c>
      <c r="T43" s="39">
        <f>VLOOKUP($E43,'[1]5.2 附表1'!$E$29:$BC$60,T$2+1,)</f>
        <v>0.16250000000000001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0</v>
      </c>
      <c r="AC43" s="31">
        <v>0</v>
      </c>
      <c r="AD43" s="31">
        <v>0</v>
      </c>
      <c r="AE43" s="31">
        <v>0</v>
      </c>
      <c r="AF43" s="31">
        <v>0</v>
      </c>
      <c r="AG43" s="31">
        <v>0</v>
      </c>
      <c r="AH43" s="31">
        <v>0</v>
      </c>
      <c r="AI43" s="31">
        <v>0</v>
      </c>
      <c r="AJ43" s="31">
        <v>0</v>
      </c>
    </row>
    <row r="44" spans="1:36" ht="15" thickBot="1">
      <c r="A44" s="5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spans="1:36" ht="16" thickTop="1" thickBot="1">
      <c r="A45" s="5"/>
      <c r="C45" s="21" t="s">
        <v>27</v>
      </c>
      <c r="D45" s="11" t="s">
        <v>17</v>
      </c>
      <c r="E45" s="20" t="str">
        <f>C45&amp;D45</f>
        <v>NESSintered ore</v>
      </c>
      <c r="F45" s="27">
        <f>VLOOKUP($E45,'[1]5.2 附表1'!$E$29:$BC$60,F$2+1,)</f>
        <v>0.17100000000000001</v>
      </c>
      <c r="G45" s="28">
        <f>VLOOKUP($E45,'[1]5.2 附表1'!$E$29:$BC$60,G$2+1,)</f>
        <v>0.157</v>
      </c>
      <c r="H45" s="28">
        <f>VLOOKUP($E45,'[1]5.2 附表1'!$E$29:$BC$60,H$2+1,)</f>
        <v>0.157</v>
      </c>
      <c r="I45" s="28">
        <f>VLOOKUP($E45,'[1]5.2 附表1'!$E$29:$BC$60,I$2+1,)</f>
        <v>0.157</v>
      </c>
      <c r="J45" s="28">
        <f>VLOOKUP($E45,'[1]5.2 附表1'!$E$29:$BC$60,J$2+1,)</f>
        <v>0.157</v>
      </c>
      <c r="K45" s="28">
        <f>VLOOKUP($E45,'[1]5.2 附表1'!$E$29:$BC$60,K$2+1,)</f>
        <v>0.157</v>
      </c>
      <c r="L45" s="29">
        <f>VLOOKUP($E45,'[1]5.2 附表1'!$E$29:$BC$60,L$2+1,)</f>
        <v>8.5500000000000007E-2</v>
      </c>
      <c r="M45" s="28">
        <f>VLOOKUP($E45,'[1]5.2 附表1'!$E$29:$BC$60,M$2+1,)</f>
        <v>8.5500000000000007E-2</v>
      </c>
      <c r="N45" s="28">
        <f>VLOOKUP($E45,'[1]5.2 附表1'!$E$29:$BC$60,N$2+1,)</f>
        <v>8.5500000000000007E-2</v>
      </c>
      <c r="O45" s="28">
        <f>VLOOKUP($E45,'[1]5.2 附表1'!$E$29:$BC$60,O$2+1,)</f>
        <v>8.5500000000000007E-2</v>
      </c>
      <c r="P45" s="30">
        <f>VLOOKUP($E45,'[1]5.2 附表1'!$E$29:$BC$60,P$2+1,)</f>
        <v>8.5500000000000007E-2</v>
      </c>
      <c r="Q45" s="28">
        <f>VLOOKUP($E45,'[1]5.2 附表1'!$E$29:$BC$60,Q$2+1,)</f>
        <v>6.4125000000000001E-2</v>
      </c>
      <c r="R45" s="28">
        <f>VLOOKUP($E45,'[1]5.2 附表1'!$E$29:$BC$60,R$2+1,)</f>
        <v>6.4125000000000001E-2</v>
      </c>
      <c r="S45" s="28">
        <f>VLOOKUP($E45,'[1]5.2 附表1'!$E$29:$BC$60,S$2+1,)</f>
        <v>6.4125000000000001E-2</v>
      </c>
      <c r="T45" s="30">
        <f>VLOOKUP($E45,'[1]5.2 附表1'!$E$29:$BC$60,T$2+1,)</f>
        <v>6.4125000000000001E-2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>
        <v>0</v>
      </c>
      <c r="AG45" s="31">
        <v>0</v>
      </c>
      <c r="AH45" s="31">
        <v>0</v>
      </c>
      <c r="AI45" s="31">
        <v>0</v>
      </c>
      <c r="AJ45" s="31">
        <v>0</v>
      </c>
    </row>
    <row r="46" spans="1:36" ht="16" thickTop="1" thickBot="1">
      <c r="A46" s="5"/>
      <c r="C46" s="21" t="s">
        <v>27</v>
      </c>
      <c r="D46" s="11" t="s">
        <v>18</v>
      </c>
      <c r="E46" s="20" t="str">
        <f t="shared" ref="E46:E54" si="3">C46&amp;D46</f>
        <v>NESAlloys</v>
      </c>
      <c r="F46" s="32">
        <f>VLOOKUP($E46,'[1]5.2 附表1'!$E$29:$BC$60,F$2+1,)</f>
        <v>0.20520000000000002</v>
      </c>
      <c r="G46" s="33">
        <f>VLOOKUP($E46,'[1]5.2 附表1'!$E$29:$BC$60,G$2+1,)</f>
        <v>0.18839999999999998</v>
      </c>
      <c r="H46" s="33">
        <f>VLOOKUP($E46,'[1]5.2 附表1'!$E$29:$BC$60,H$2+1,)</f>
        <v>0.18839999999999998</v>
      </c>
      <c r="I46" s="33">
        <f>VLOOKUP($E46,'[1]5.2 附表1'!$E$29:$BC$60,I$2+1,)</f>
        <v>0.18839999999999998</v>
      </c>
      <c r="J46" s="33">
        <f>VLOOKUP($E46,'[1]5.2 附表1'!$E$29:$BC$60,J$2+1,)</f>
        <v>0.18839999999999998</v>
      </c>
      <c r="K46" s="33">
        <f>VLOOKUP($E46,'[1]5.2 附表1'!$E$29:$BC$60,K$2+1,)</f>
        <v>0.18839999999999998</v>
      </c>
      <c r="L46" s="34">
        <f>VLOOKUP($E46,'[1]5.2 附表1'!$E$29:$BC$60,L$2+1,)</f>
        <v>0.10260000000000001</v>
      </c>
      <c r="M46" s="33">
        <f>VLOOKUP($E46,'[1]5.2 附表1'!$E$29:$BC$60,M$2+1,)</f>
        <v>0.10260000000000001</v>
      </c>
      <c r="N46" s="33">
        <f>VLOOKUP($E46,'[1]5.2 附表1'!$E$29:$BC$60,N$2+1,)</f>
        <v>0.10260000000000001</v>
      </c>
      <c r="O46" s="33">
        <f>VLOOKUP($E46,'[1]5.2 附表1'!$E$29:$BC$60,O$2+1,)</f>
        <v>0.10260000000000001</v>
      </c>
      <c r="P46" s="35">
        <f>VLOOKUP($E46,'[1]5.2 附表1'!$E$29:$BC$60,P$2+1,)</f>
        <v>0.10260000000000001</v>
      </c>
      <c r="Q46" s="33">
        <f>VLOOKUP($E46,'[1]5.2 附表1'!$E$29:$BC$60,Q$2+1,)</f>
        <v>7.6950000000000005E-2</v>
      </c>
      <c r="R46" s="33">
        <f>VLOOKUP($E46,'[1]5.2 附表1'!$E$29:$BC$60,R$2+1,)</f>
        <v>7.6950000000000005E-2</v>
      </c>
      <c r="S46" s="33">
        <f>VLOOKUP($E46,'[1]5.2 附表1'!$E$29:$BC$60,S$2+1,)</f>
        <v>7.6950000000000005E-2</v>
      </c>
      <c r="T46" s="35">
        <f>VLOOKUP($E46,'[1]5.2 附表1'!$E$29:$BC$60,T$2+1,)</f>
        <v>7.6950000000000005E-2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  <c r="AC46" s="31">
        <v>0</v>
      </c>
      <c r="AD46" s="31">
        <v>0</v>
      </c>
      <c r="AE46" s="31">
        <v>0</v>
      </c>
      <c r="AF46" s="31">
        <v>0</v>
      </c>
      <c r="AG46" s="31">
        <v>0</v>
      </c>
      <c r="AH46" s="31">
        <v>0</v>
      </c>
      <c r="AI46" s="31">
        <v>0</v>
      </c>
      <c r="AJ46" s="31">
        <v>0</v>
      </c>
    </row>
    <row r="47" spans="1:36" ht="16" thickTop="1" thickBot="1">
      <c r="A47" s="5"/>
      <c r="C47" s="21" t="s">
        <v>27</v>
      </c>
      <c r="D47" s="11" t="s">
        <v>19</v>
      </c>
      <c r="E47" s="20" t="str">
        <f t="shared" si="3"/>
        <v>NESPig iron (BF)</v>
      </c>
      <c r="F47" s="32">
        <f>VLOOKUP($E47,'[1]5.2 附表1'!$E$29:$BC$60,F$2+1,)</f>
        <v>1.3280000000000001</v>
      </c>
      <c r="G47" s="33">
        <f>VLOOKUP($E47,'[1]5.2 附表1'!$E$29:$BC$60,G$2+1,)</f>
        <v>1.288</v>
      </c>
      <c r="H47" s="33">
        <f>VLOOKUP($E47,'[1]5.2 附表1'!$E$29:$BC$60,H$2+1,)</f>
        <v>1.288</v>
      </c>
      <c r="I47" s="33">
        <f>VLOOKUP($E47,'[1]5.2 附表1'!$E$29:$BC$60,I$2+1,)</f>
        <v>1.288</v>
      </c>
      <c r="J47" s="33">
        <f>VLOOKUP($E47,'[1]5.2 附表1'!$E$29:$BC$60,J$2+1,)</f>
        <v>1.288</v>
      </c>
      <c r="K47" s="33">
        <f>VLOOKUP($E47,'[1]5.2 附表1'!$E$29:$BC$60,K$2+1,)</f>
        <v>1.288</v>
      </c>
      <c r="L47" s="34">
        <f>VLOOKUP($E47,'[1]5.2 附表1'!$E$29:$BC$60,L$2+1,)</f>
        <v>1.1952</v>
      </c>
      <c r="M47" s="33">
        <f>VLOOKUP($E47,'[1]5.2 附表1'!$E$29:$BC$60,M$2+1,)</f>
        <v>1.1952</v>
      </c>
      <c r="N47" s="33">
        <f>VLOOKUP($E47,'[1]5.2 附表1'!$E$29:$BC$60,N$2+1,)</f>
        <v>1.1952</v>
      </c>
      <c r="O47" s="33">
        <f>VLOOKUP($E47,'[1]5.2 附表1'!$E$29:$BC$60,O$2+1,)</f>
        <v>1.1952</v>
      </c>
      <c r="P47" s="35">
        <f>VLOOKUP($E47,'[1]5.2 附表1'!$E$29:$BC$60,P$2+1,)</f>
        <v>1.1952</v>
      </c>
      <c r="Q47" s="33">
        <f>VLOOKUP($E47,'[1]5.2 附表1'!$E$29:$BC$60,Q$2+1,)</f>
        <v>1.1620000000000001</v>
      </c>
      <c r="R47" s="33">
        <f>VLOOKUP($E47,'[1]5.2 附表1'!$E$29:$BC$60,R$2+1,)</f>
        <v>1.1620000000000001</v>
      </c>
      <c r="S47" s="33">
        <f>VLOOKUP($E47,'[1]5.2 附表1'!$E$29:$BC$60,S$2+1,)</f>
        <v>1.1620000000000001</v>
      </c>
      <c r="T47" s="35">
        <f>VLOOKUP($E47,'[1]5.2 附表1'!$E$29:$BC$60,T$2+1,)</f>
        <v>1.1620000000000001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  <c r="AC47" s="31">
        <v>0</v>
      </c>
      <c r="AD47" s="31">
        <v>0</v>
      </c>
      <c r="AE47" s="31">
        <v>0</v>
      </c>
      <c r="AF47" s="31">
        <v>0</v>
      </c>
      <c r="AG47" s="31">
        <v>0</v>
      </c>
      <c r="AH47" s="31">
        <v>0</v>
      </c>
      <c r="AI47" s="31">
        <v>0</v>
      </c>
      <c r="AJ47" s="31">
        <v>0</v>
      </c>
    </row>
    <row r="48" spans="1:36" ht="16" thickTop="1" thickBot="1">
      <c r="A48" s="5"/>
      <c r="C48" s="21" t="s">
        <v>27</v>
      </c>
      <c r="D48" s="11" t="s">
        <v>20</v>
      </c>
      <c r="E48" s="20" t="str">
        <f t="shared" si="3"/>
        <v>NESPig iron (smelting reduction)</v>
      </c>
      <c r="F48" s="32">
        <f>VLOOKUP($E48,'[1]5.2 附表1'!$E$29:$BC$60,F$2+1,)</f>
        <v>0.27360000000000001</v>
      </c>
      <c r="G48" s="33">
        <f>VLOOKUP($E48,'[1]5.2 附表1'!$E$29:$BC$60,G$2+1,)</f>
        <v>0.25120000000000003</v>
      </c>
      <c r="H48" s="33">
        <f>VLOOKUP($E48,'[1]5.2 附表1'!$E$29:$BC$60,H$2+1,)</f>
        <v>0.25120000000000003</v>
      </c>
      <c r="I48" s="33">
        <f>VLOOKUP($E48,'[1]5.2 附表1'!$E$29:$BC$60,I$2+1,)</f>
        <v>0.25120000000000003</v>
      </c>
      <c r="J48" s="33">
        <f>VLOOKUP($E48,'[1]5.2 附表1'!$E$29:$BC$60,J$2+1,)</f>
        <v>0.25120000000000003</v>
      </c>
      <c r="K48" s="33">
        <f>VLOOKUP($E48,'[1]5.2 附表1'!$E$29:$BC$60,K$2+1,)</f>
        <v>0.25120000000000003</v>
      </c>
      <c r="L48" s="34">
        <f>VLOOKUP($E48,'[1]5.2 附表1'!$E$29:$BC$60,L$2+1,)</f>
        <v>0.1368</v>
      </c>
      <c r="M48" s="33">
        <f>VLOOKUP($E48,'[1]5.2 附表1'!$E$29:$BC$60,M$2+1,)</f>
        <v>0.1368</v>
      </c>
      <c r="N48" s="33">
        <f>VLOOKUP($E48,'[1]5.2 附表1'!$E$29:$BC$60,N$2+1,)</f>
        <v>0.1368</v>
      </c>
      <c r="O48" s="33">
        <f>VLOOKUP($E48,'[1]5.2 附表1'!$E$29:$BC$60,O$2+1,)</f>
        <v>0.1368</v>
      </c>
      <c r="P48" s="35">
        <f>VLOOKUP($E48,'[1]5.2 附表1'!$E$29:$BC$60,P$2+1,)</f>
        <v>0.1368</v>
      </c>
      <c r="Q48" s="33">
        <f>VLOOKUP($E48,'[1]5.2 附表1'!$E$29:$BC$60,Q$2+1,)</f>
        <v>0.10260000000000001</v>
      </c>
      <c r="R48" s="33">
        <f>VLOOKUP($E48,'[1]5.2 附表1'!$E$29:$BC$60,R$2+1,)</f>
        <v>0.10260000000000001</v>
      </c>
      <c r="S48" s="33">
        <f>VLOOKUP($E48,'[1]5.2 附表1'!$E$29:$BC$60,S$2+1,)</f>
        <v>0.10260000000000001</v>
      </c>
      <c r="T48" s="35">
        <f>VLOOKUP($E48,'[1]5.2 附表1'!$E$29:$BC$60,T$2+1,)</f>
        <v>0.10260000000000001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0</v>
      </c>
      <c r="AC48" s="31">
        <v>0</v>
      </c>
      <c r="AD48" s="31">
        <v>0</v>
      </c>
      <c r="AE48" s="31">
        <v>0</v>
      </c>
      <c r="AF48" s="31">
        <v>0</v>
      </c>
      <c r="AG48" s="31">
        <v>0</v>
      </c>
      <c r="AH48" s="31">
        <v>0</v>
      </c>
      <c r="AI48" s="31">
        <v>0</v>
      </c>
      <c r="AJ48" s="31">
        <v>0</v>
      </c>
    </row>
    <row r="49" spans="1:36" ht="16" thickTop="1" thickBot="1">
      <c r="A49" s="5"/>
      <c r="C49" s="21" t="s">
        <v>27</v>
      </c>
      <c r="D49" s="11" t="s">
        <v>21</v>
      </c>
      <c r="E49" s="20" t="str">
        <f t="shared" si="3"/>
        <v>NESDRI</v>
      </c>
      <c r="F49" s="32">
        <f>VLOOKUP($E49,'[1]5.2 附表1'!$E$29:$BC$60,F$2+1,)</f>
        <v>0.27360000000000001</v>
      </c>
      <c r="G49" s="33">
        <f>VLOOKUP($E49,'[1]5.2 附表1'!$E$29:$BC$60,G$2+1,)</f>
        <v>0.25120000000000003</v>
      </c>
      <c r="H49" s="33">
        <f>VLOOKUP($E49,'[1]5.2 附表1'!$E$29:$BC$60,H$2+1,)</f>
        <v>0.25120000000000003</v>
      </c>
      <c r="I49" s="33">
        <f>VLOOKUP($E49,'[1]5.2 附表1'!$E$29:$BC$60,I$2+1,)</f>
        <v>0.25120000000000003</v>
      </c>
      <c r="J49" s="33">
        <f>VLOOKUP($E49,'[1]5.2 附表1'!$E$29:$BC$60,J$2+1,)</f>
        <v>0.25120000000000003</v>
      </c>
      <c r="K49" s="33">
        <f>VLOOKUP($E49,'[1]5.2 附表1'!$E$29:$BC$60,K$2+1,)</f>
        <v>0.25120000000000003</v>
      </c>
      <c r="L49" s="34">
        <f>VLOOKUP($E49,'[1]5.2 附表1'!$E$29:$BC$60,L$2+1,)</f>
        <v>0.1368</v>
      </c>
      <c r="M49" s="33">
        <f>VLOOKUP($E49,'[1]5.2 附表1'!$E$29:$BC$60,M$2+1,)</f>
        <v>0.1368</v>
      </c>
      <c r="N49" s="33">
        <f>VLOOKUP($E49,'[1]5.2 附表1'!$E$29:$BC$60,N$2+1,)</f>
        <v>0.1368</v>
      </c>
      <c r="O49" s="33">
        <f>VLOOKUP($E49,'[1]5.2 附表1'!$E$29:$BC$60,O$2+1,)</f>
        <v>0.1368</v>
      </c>
      <c r="P49" s="35">
        <f>VLOOKUP($E49,'[1]5.2 附表1'!$E$29:$BC$60,P$2+1,)</f>
        <v>0.1368</v>
      </c>
      <c r="Q49" s="33">
        <f>VLOOKUP($E49,'[1]5.2 附表1'!$E$29:$BC$60,Q$2+1,)</f>
        <v>0.10260000000000001</v>
      </c>
      <c r="R49" s="33">
        <f>VLOOKUP($E49,'[1]5.2 附表1'!$E$29:$BC$60,R$2+1,)</f>
        <v>0.10260000000000001</v>
      </c>
      <c r="S49" s="33">
        <f>VLOOKUP($E49,'[1]5.2 附表1'!$E$29:$BC$60,S$2+1,)</f>
        <v>0.10260000000000001</v>
      </c>
      <c r="T49" s="35">
        <f>VLOOKUP($E49,'[1]5.2 附表1'!$E$29:$BC$60,T$2+1,)</f>
        <v>0.10260000000000001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  <c r="AC49" s="31">
        <v>0</v>
      </c>
      <c r="AD49" s="31">
        <v>0</v>
      </c>
      <c r="AE49" s="31">
        <v>0</v>
      </c>
      <c r="AF49" s="31">
        <v>0</v>
      </c>
      <c r="AG49" s="31">
        <v>0</v>
      </c>
      <c r="AH49" s="31">
        <v>0</v>
      </c>
      <c r="AI49" s="31">
        <v>0</v>
      </c>
      <c r="AJ49" s="31">
        <v>0</v>
      </c>
    </row>
    <row r="50" spans="1:36" ht="16" thickTop="1" thickBot="1">
      <c r="A50" s="5"/>
      <c r="C50" s="21" t="s">
        <v>27</v>
      </c>
      <c r="D50" s="11" t="s">
        <v>22</v>
      </c>
      <c r="E50" s="20" t="str">
        <f t="shared" si="3"/>
        <v>NESCrude steel (BOF route)</v>
      </c>
      <c r="F50" s="32">
        <f>VLOOKUP($E50,'[1]5.2 附表1'!$E$29:$BC$60,F$2+1,)</f>
        <v>1.6016000000000001</v>
      </c>
      <c r="G50" s="33">
        <f>VLOOKUP($E50,'[1]5.2 附表1'!$E$29:$BC$60,G$2+1,)</f>
        <v>1.5392000000000001</v>
      </c>
      <c r="H50" s="33">
        <f>VLOOKUP($E50,'[1]5.2 附表1'!$E$29:$BC$60,H$2+1,)</f>
        <v>1.5392000000000001</v>
      </c>
      <c r="I50" s="33">
        <f>VLOOKUP($E50,'[1]5.2 附表1'!$E$29:$BC$60,I$2+1,)</f>
        <v>1.5392000000000001</v>
      </c>
      <c r="J50" s="33">
        <f>VLOOKUP($E50,'[1]5.2 附表1'!$E$29:$BC$60,J$2+1,)</f>
        <v>1.5392000000000001</v>
      </c>
      <c r="K50" s="33">
        <f>VLOOKUP($E50,'[1]5.2 附表1'!$E$29:$BC$60,K$2+1,)</f>
        <v>1.5392000000000001</v>
      </c>
      <c r="L50" s="34">
        <f>VLOOKUP($E50,'[1]5.2 附表1'!$E$29:$BC$60,L$2+1,)</f>
        <v>1.3320000000000001</v>
      </c>
      <c r="M50" s="33">
        <f>VLOOKUP($E50,'[1]5.2 附表1'!$E$29:$BC$60,M$2+1,)</f>
        <v>1.3320000000000001</v>
      </c>
      <c r="N50" s="33">
        <f>VLOOKUP($E50,'[1]5.2 附表1'!$E$29:$BC$60,N$2+1,)</f>
        <v>1.3320000000000001</v>
      </c>
      <c r="O50" s="33">
        <f>VLOOKUP($E50,'[1]5.2 附表1'!$E$29:$BC$60,O$2+1,)</f>
        <v>1.3320000000000001</v>
      </c>
      <c r="P50" s="35">
        <f>VLOOKUP($E50,'[1]5.2 附表1'!$E$29:$BC$60,P$2+1,)</f>
        <v>1.3320000000000001</v>
      </c>
      <c r="Q50" s="33">
        <f>VLOOKUP($E50,'[1]5.2 附表1'!$E$29:$BC$60,Q$2+1,)</f>
        <v>1.2646000000000002</v>
      </c>
      <c r="R50" s="33">
        <f>VLOOKUP($E50,'[1]5.2 附表1'!$E$29:$BC$60,R$2+1,)</f>
        <v>1.2646000000000002</v>
      </c>
      <c r="S50" s="33">
        <f>VLOOKUP($E50,'[1]5.2 附表1'!$E$29:$BC$60,S$2+1,)</f>
        <v>1.2646000000000002</v>
      </c>
      <c r="T50" s="35">
        <f>VLOOKUP($E50,'[1]5.2 附表1'!$E$29:$BC$60,T$2+1,)</f>
        <v>1.2646000000000002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  <c r="AC50" s="31">
        <v>0</v>
      </c>
      <c r="AD50" s="31">
        <v>0</v>
      </c>
      <c r="AE50" s="31">
        <v>0</v>
      </c>
      <c r="AF50" s="31">
        <v>0</v>
      </c>
      <c r="AG50" s="31">
        <v>0</v>
      </c>
      <c r="AH50" s="31">
        <v>0</v>
      </c>
      <c r="AI50" s="31">
        <v>0</v>
      </c>
      <c r="AJ50" s="31">
        <v>0</v>
      </c>
    </row>
    <row r="51" spans="1:36" ht="16" thickTop="1" thickBot="1">
      <c r="A51" s="5"/>
      <c r="C51" s="21" t="s">
        <v>27</v>
      </c>
      <c r="D51" s="11" t="s">
        <v>23</v>
      </c>
      <c r="E51" s="20" t="str">
        <f t="shared" si="3"/>
        <v>NESCrude steel (EAF route)</v>
      </c>
      <c r="F51" s="32">
        <f>VLOOKUP($E51,'[1]5.2 附表1'!$E$29:$BC$60,F$2+1,)</f>
        <v>0.3175</v>
      </c>
      <c r="G51" s="33">
        <f>VLOOKUP($E51,'[1]5.2 附表1'!$E$29:$BC$60,G$2+1,)</f>
        <v>0.24149999999999999</v>
      </c>
      <c r="H51" s="33">
        <f>VLOOKUP($E51,'[1]5.2 附表1'!$E$29:$BC$60,H$2+1,)</f>
        <v>0.24149999999999999</v>
      </c>
      <c r="I51" s="33">
        <f>VLOOKUP($E51,'[1]5.2 附表1'!$E$29:$BC$60,I$2+1,)</f>
        <v>0.24149999999999999</v>
      </c>
      <c r="J51" s="33">
        <f>VLOOKUP($E51,'[1]5.2 附表1'!$E$29:$BC$60,J$2+1,)</f>
        <v>0.24149999999999999</v>
      </c>
      <c r="K51" s="33">
        <f>VLOOKUP($E51,'[1]5.2 附表1'!$E$29:$BC$60,K$2+1,)</f>
        <v>0.24149999999999999</v>
      </c>
      <c r="L51" s="34">
        <f>VLOOKUP($E51,'[1]5.2 附表1'!$E$29:$BC$60,L$2+1,)</f>
        <v>0.15874999999999997</v>
      </c>
      <c r="M51" s="33">
        <f>VLOOKUP($E51,'[1]5.2 附表1'!$E$29:$BC$60,M$2+1,)</f>
        <v>0.15874999999999997</v>
      </c>
      <c r="N51" s="33">
        <f>VLOOKUP($E51,'[1]5.2 附表1'!$E$29:$BC$60,N$2+1,)</f>
        <v>0.15874999999999997</v>
      </c>
      <c r="O51" s="33">
        <f>VLOOKUP($E51,'[1]5.2 附表1'!$E$29:$BC$60,O$2+1,)</f>
        <v>0.15874999999999997</v>
      </c>
      <c r="P51" s="35">
        <f>VLOOKUP($E51,'[1]5.2 附表1'!$E$29:$BC$60,P$2+1,)</f>
        <v>0.15874999999999997</v>
      </c>
      <c r="Q51" s="33">
        <f>VLOOKUP($E51,'[1]5.2 附表1'!$E$29:$BC$60,Q$2+1,)</f>
        <v>0.11906249999999997</v>
      </c>
      <c r="R51" s="33">
        <f>VLOOKUP($E51,'[1]5.2 附表1'!$E$29:$BC$60,R$2+1,)</f>
        <v>0.11906249999999997</v>
      </c>
      <c r="S51" s="33">
        <f>VLOOKUP($E51,'[1]5.2 附表1'!$E$29:$BC$60,S$2+1,)</f>
        <v>0.11906249999999997</v>
      </c>
      <c r="T51" s="35">
        <f>VLOOKUP($E51,'[1]5.2 附表1'!$E$29:$BC$60,T$2+1,)</f>
        <v>0.11906249999999997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  <c r="AC51" s="31">
        <v>0</v>
      </c>
      <c r="AD51" s="31">
        <v>0</v>
      </c>
      <c r="AE51" s="31">
        <v>0</v>
      </c>
      <c r="AF51" s="31">
        <v>0</v>
      </c>
      <c r="AG51" s="31">
        <v>0</v>
      </c>
      <c r="AH51" s="31">
        <v>0</v>
      </c>
      <c r="AI51" s="31">
        <v>0</v>
      </c>
      <c r="AJ51" s="31">
        <v>0</v>
      </c>
    </row>
    <row r="52" spans="1:36" ht="16" thickTop="1" thickBot="1">
      <c r="A52" s="5"/>
      <c r="C52" s="21" t="s">
        <v>27</v>
      </c>
      <c r="D52" s="11" t="s">
        <v>24</v>
      </c>
      <c r="E52" s="20" t="str">
        <f t="shared" si="3"/>
        <v>NESSteel (BF-BOF route)</v>
      </c>
      <c r="F52" s="32">
        <f>VLOOKUP($E52,'[1]5.2 附表1'!$E$29:$BC$60,F$2+1,)</f>
        <v>1.7825808000000001</v>
      </c>
      <c r="G52" s="33">
        <f>VLOOKUP($E52,'[1]5.2 附表1'!$E$29:$BC$60,G$2+1,)</f>
        <v>1.7131296</v>
      </c>
      <c r="H52" s="33">
        <f>VLOOKUP($E52,'[1]5.2 附表1'!$E$29:$BC$60,H$2+1,)</f>
        <v>1.7131296</v>
      </c>
      <c r="I52" s="33">
        <f>VLOOKUP($E52,'[1]5.2 附表1'!$E$29:$BC$60,I$2+1,)</f>
        <v>1.7131296</v>
      </c>
      <c r="J52" s="33">
        <f>VLOOKUP($E52,'[1]5.2 附表1'!$E$29:$BC$60,J$2+1,)</f>
        <v>1.7131296</v>
      </c>
      <c r="K52" s="33">
        <f>VLOOKUP($E52,'[1]5.2 附表1'!$E$29:$BC$60,K$2+1,)</f>
        <v>1.7131296</v>
      </c>
      <c r="L52" s="34">
        <f>VLOOKUP($E52,'[1]5.2 附表1'!$E$29:$BC$60,L$2+1,)</f>
        <v>1.4825160000000002</v>
      </c>
      <c r="M52" s="33">
        <f>VLOOKUP($E52,'[1]5.2 附表1'!$E$29:$BC$60,M$2+1,)</f>
        <v>1.4825160000000002</v>
      </c>
      <c r="N52" s="33">
        <f>VLOOKUP($E52,'[1]5.2 附表1'!$E$29:$BC$60,N$2+1,)</f>
        <v>1.4825160000000002</v>
      </c>
      <c r="O52" s="33">
        <f>VLOOKUP($E52,'[1]5.2 附表1'!$E$29:$BC$60,O$2+1,)</f>
        <v>1.4825160000000002</v>
      </c>
      <c r="P52" s="35">
        <f>VLOOKUP($E52,'[1]5.2 附表1'!$E$29:$BC$60,P$2+1,)</f>
        <v>1.4825160000000002</v>
      </c>
      <c r="Q52" s="33">
        <f>VLOOKUP($E52,'[1]5.2 附表1'!$E$29:$BC$60,Q$2+1,)</f>
        <v>1.4074998000000001</v>
      </c>
      <c r="R52" s="33">
        <f>VLOOKUP($E52,'[1]5.2 附表1'!$E$29:$BC$60,R$2+1,)</f>
        <v>1.4074998000000001</v>
      </c>
      <c r="S52" s="33">
        <f>VLOOKUP($E52,'[1]5.2 附表1'!$E$29:$BC$60,S$2+1,)</f>
        <v>1.4074998000000001</v>
      </c>
      <c r="T52" s="35">
        <f>VLOOKUP($E52,'[1]5.2 附表1'!$E$29:$BC$60,T$2+1,)</f>
        <v>1.4074998000000001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  <c r="AC52" s="31">
        <v>0</v>
      </c>
      <c r="AD52" s="31">
        <v>0</v>
      </c>
      <c r="AE52" s="31">
        <v>0</v>
      </c>
      <c r="AF52" s="31">
        <v>0</v>
      </c>
      <c r="AG52" s="31">
        <v>0</v>
      </c>
      <c r="AH52" s="31">
        <v>0</v>
      </c>
      <c r="AI52" s="31">
        <v>0</v>
      </c>
      <c r="AJ52" s="31">
        <v>0</v>
      </c>
    </row>
    <row r="53" spans="1:36" ht="16" thickTop="1" thickBot="1">
      <c r="A53" s="5"/>
      <c r="C53" s="21" t="s">
        <v>27</v>
      </c>
      <c r="D53" s="11" t="s">
        <v>25</v>
      </c>
      <c r="E53" s="20" t="str">
        <f t="shared" si="3"/>
        <v>NESSteel (DRI-EAF route)</v>
      </c>
      <c r="F53" s="32">
        <f>VLOOKUP($E53,'[1]5.2 附表1'!$E$29:$BC$60,F$2+1,)</f>
        <v>0.53920000000000001</v>
      </c>
      <c r="G53" s="33">
        <f>VLOOKUP($E53,'[1]5.2 附表1'!$E$29:$BC$60,G$2+1,)</f>
        <v>0.50880000000000003</v>
      </c>
      <c r="H53" s="33">
        <f>VLOOKUP($E53,'[1]5.2 附表1'!$E$29:$BC$60,H$2+1,)</f>
        <v>0.50880000000000003</v>
      </c>
      <c r="I53" s="33">
        <f>VLOOKUP($E53,'[1]5.2 附表1'!$E$29:$BC$60,I$2+1,)</f>
        <v>0.50880000000000003</v>
      </c>
      <c r="J53" s="33">
        <f>VLOOKUP($E53,'[1]5.2 附表1'!$E$29:$BC$60,J$2+1,)</f>
        <v>0.50880000000000003</v>
      </c>
      <c r="K53" s="33">
        <f>VLOOKUP($E53,'[1]5.2 附表1'!$E$29:$BC$60,K$2+1,)</f>
        <v>0.50880000000000003</v>
      </c>
      <c r="L53" s="34">
        <f>VLOOKUP($E53,'[1]5.2 附表1'!$E$29:$BC$60,L$2+1,)</f>
        <v>0.29554999999999998</v>
      </c>
      <c r="M53" s="33">
        <f>VLOOKUP($E53,'[1]5.2 附表1'!$E$29:$BC$60,M$2+1,)</f>
        <v>0.29554999999999998</v>
      </c>
      <c r="N53" s="33">
        <f>VLOOKUP($E53,'[1]5.2 附表1'!$E$29:$BC$60,N$2+1,)</f>
        <v>0.29554999999999998</v>
      </c>
      <c r="O53" s="33">
        <f>VLOOKUP($E53,'[1]5.2 附表1'!$E$29:$BC$60,O$2+1,)</f>
        <v>0.29554999999999998</v>
      </c>
      <c r="P53" s="35">
        <f>VLOOKUP($E53,'[1]5.2 附表1'!$E$29:$BC$60,P$2+1,)</f>
        <v>0.29554999999999998</v>
      </c>
      <c r="Q53" s="33">
        <f>VLOOKUP($E53,'[1]5.2 附表1'!$E$29:$BC$60,Q$2+1,)</f>
        <v>0.22166249999999998</v>
      </c>
      <c r="R53" s="33">
        <f>VLOOKUP($E53,'[1]5.2 附表1'!$E$29:$BC$60,R$2+1,)</f>
        <v>0.22166249999999998</v>
      </c>
      <c r="S53" s="33">
        <f>VLOOKUP($E53,'[1]5.2 附表1'!$E$29:$BC$60,S$2+1,)</f>
        <v>0.22166249999999998</v>
      </c>
      <c r="T53" s="35">
        <f>VLOOKUP($E53,'[1]5.2 附表1'!$E$29:$BC$60,T$2+1,)</f>
        <v>0.22166249999999998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>
        <v>0</v>
      </c>
      <c r="AG53" s="31">
        <v>0</v>
      </c>
      <c r="AH53" s="31">
        <v>0</v>
      </c>
      <c r="AI53" s="31">
        <v>0</v>
      </c>
      <c r="AJ53" s="31">
        <v>0</v>
      </c>
    </row>
    <row r="54" spans="1:36" ht="16" thickTop="1" thickBot="1">
      <c r="A54" s="5"/>
      <c r="C54" s="21" t="s">
        <v>27</v>
      </c>
      <c r="D54" s="11" t="s">
        <v>26</v>
      </c>
      <c r="E54" s="20" t="str">
        <f t="shared" si="3"/>
        <v>NESSteel (Scrap-EAF route)</v>
      </c>
      <c r="F54" s="36">
        <f>VLOOKUP($E54,'[1]5.2 附表1'!$E$29:$BC$60,F$2+1,)</f>
        <v>0.32500000000000001</v>
      </c>
      <c r="G54" s="37">
        <f>VLOOKUP($E54,'[1]5.2 附表1'!$E$29:$BC$60,G$2+1,)</f>
        <v>0.28199999999999997</v>
      </c>
      <c r="H54" s="37">
        <f>VLOOKUP($E54,'[1]5.2 附表1'!$E$29:$BC$60,H$2+1,)</f>
        <v>0.28199999999999997</v>
      </c>
      <c r="I54" s="37">
        <f>VLOOKUP($E54,'[1]5.2 附表1'!$E$29:$BC$60,I$2+1,)</f>
        <v>0.28199999999999997</v>
      </c>
      <c r="J54" s="37">
        <f>VLOOKUP($E54,'[1]5.2 附表1'!$E$29:$BC$60,J$2+1,)</f>
        <v>0.28199999999999997</v>
      </c>
      <c r="K54" s="37">
        <f>VLOOKUP($E54,'[1]5.2 附表1'!$E$29:$BC$60,K$2+1,)</f>
        <v>0.28199999999999997</v>
      </c>
      <c r="L54" s="38">
        <f>VLOOKUP($E54,'[1]5.2 附表1'!$E$29:$BC$60,L$2+1,)</f>
        <v>0.16250000000000001</v>
      </c>
      <c r="M54" s="37">
        <f>VLOOKUP($E54,'[1]5.2 附表1'!$E$29:$BC$60,M$2+1,)</f>
        <v>0.16250000000000001</v>
      </c>
      <c r="N54" s="37">
        <f>VLOOKUP($E54,'[1]5.2 附表1'!$E$29:$BC$60,N$2+1,)</f>
        <v>0.16250000000000001</v>
      </c>
      <c r="O54" s="37">
        <f>VLOOKUP($E54,'[1]5.2 附表1'!$E$29:$BC$60,O$2+1,)</f>
        <v>0.16250000000000001</v>
      </c>
      <c r="P54" s="39">
        <f>VLOOKUP($E54,'[1]5.2 附表1'!$E$29:$BC$60,P$2+1,)</f>
        <v>0.16250000000000001</v>
      </c>
      <c r="Q54" s="37">
        <f>VLOOKUP($E54,'[1]5.2 附表1'!$E$29:$BC$60,Q$2+1,)</f>
        <v>0.12187500000000001</v>
      </c>
      <c r="R54" s="37">
        <f>VLOOKUP($E54,'[1]5.2 附表1'!$E$29:$BC$60,R$2+1,)</f>
        <v>0.12187500000000001</v>
      </c>
      <c r="S54" s="37">
        <f>VLOOKUP($E54,'[1]5.2 附表1'!$E$29:$BC$60,S$2+1,)</f>
        <v>0.12187500000000001</v>
      </c>
      <c r="T54" s="39">
        <f>VLOOKUP($E54,'[1]5.2 附表1'!$E$29:$BC$60,T$2+1,)</f>
        <v>0.12187500000000001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0</v>
      </c>
      <c r="AC54" s="31">
        <v>0</v>
      </c>
      <c r="AD54" s="31">
        <v>0</v>
      </c>
      <c r="AE54" s="31">
        <v>0</v>
      </c>
      <c r="AF54" s="31">
        <v>0</v>
      </c>
      <c r="AG54" s="31">
        <v>0</v>
      </c>
      <c r="AH54" s="31">
        <v>0</v>
      </c>
      <c r="AI54" s="31">
        <v>0</v>
      </c>
      <c r="AJ54" s="31">
        <v>0</v>
      </c>
    </row>
    <row r="55" spans="1:36" ht="14">
      <c r="A55" s="5"/>
    </row>
    <row r="57" spans="1:36" ht="15" thickBot="1">
      <c r="B57" s="19" t="s">
        <v>28</v>
      </c>
      <c r="F57" s="10">
        <v>2020</v>
      </c>
      <c r="G57" s="10">
        <v>2021</v>
      </c>
      <c r="H57" s="10">
        <v>2022</v>
      </c>
      <c r="I57" s="10">
        <v>2023</v>
      </c>
      <c r="J57" s="10">
        <v>2024</v>
      </c>
      <c r="K57" s="10">
        <v>2025</v>
      </c>
      <c r="L57" s="10">
        <v>2026</v>
      </c>
      <c r="M57" s="10">
        <v>2027</v>
      </c>
      <c r="N57" s="10">
        <v>2028</v>
      </c>
      <c r="O57" s="10">
        <v>2029</v>
      </c>
      <c r="P57" s="10">
        <v>2030</v>
      </c>
      <c r="Q57" s="10">
        <v>2031</v>
      </c>
      <c r="R57" s="10">
        <v>2032</v>
      </c>
      <c r="S57" s="10">
        <v>2033</v>
      </c>
      <c r="T57" s="10">
        <v>2034</v>
      </c>
      <c r="U57" s="10">
        <v>2035</v>
      </c>
      <c r="V57" s="10">
        <v>2036</v>
      </c>
      <c r="W57" s="10">
        <v>2037</v>
      </c>
      <c r="X57" s="10">
        <v>2038</v>
      </c>
      <c r="Y57" s="10">
        <v>2039</v>
      </c>
      <c r="Z57" s="10">
        <v>2040</v>
      </c>
      <c r="AA57" s="10">
        <v>2041</v>
      </c>
      <c r="AB57" s="10">
        <v>2042</v>
      </c>
      <c r="AC57" s="10">
        <v>2043</v>
      </c>
      <c r="AD57" s="10">
        <v>2044</v>
      </c>
      <c r="AE57" s="10">
        <v>2045</v>
      </c>
      <c r="AF57" s="10">
        <v>2046</v>
      </c>
      <c r="AG57" s="10">
        <v>2047</v>
      </c>
      <c r="AH57" s="10">
        <v>2048</v>
      </c>
      <c r="AI57" s="10">
        <v>2049</v>
      </c>
      <c r="AJ57" s="10">
        <v>2050</v>
      </c>
    </row>
    <row r="58" spans="1:36" ht="16" thickTop="1" thickBot="1">
      <c r="B58" s="11"/>
      <c r="C58" s="21" t="s">
        <v>15</v>
      </c>
      <c r="D58" s="11" t="s">
        <v>17</v>
      </c>
      <c r="E58" s="20" t="str">
        <f>C58&amp;D58</f>
        <v>BAUSintered ore</v>
      </c>
      <c r="F58" s="27">
        <f>VLOOKUP($E58,'[1]5.3.2 Emissions and intensity'!$E$315:$AJ$346,F$2+1,)</f>
        <v>0.191</v>
      </c>
      <c r="G58" s="28">
        <f>VLOOKUP($E58,'[1]5.3.2 Emissions and intensity'!$E$315:$AJ$346,G$2+1,)</f>
        <v>0.19061800000000001</v>
      </c>
      <c r="H58" s="28">
        <f>VLOOKUP($E58,'[1]5.3.2 Emissions and intensity'!$E$315:$AJ$346,H$2+1,)</f>
        <v>0.190236764</v>
      </c>
      <c r="I58" s="28">
        <f>VLOOKUP($E58,'[1]5.3.2 Emissions and intensity'!$E$315:$AJ$346,I$2+1,)</f>
        <v>0.18985629047200001</v>
      </c>
      <c r="J58" s="28">
        <f>VLOOKUP($E58,'[1]5.3.2 Emissions and intensity'!$E$315:$AJ$346,J$2+1,)</f>
        <v>0.18947657789105601</v>
      </c>
      <c r="K58" s="28">
        <f>VLOOKUP($E58,'[1]5.3.2 Emissions and intensity'!$E$315:$AJ$346,K$2+1,)</f>
        <v>0.18909762473527389</v>
      </c>
      <c r="L58" s="29">
        <f>VLOOKUP($E58,'[1]5.3.2 Emissions and intensity'!$E$315:$AJ$346,L$2+1,)</f>
        <v>0.12988</v>
      </c>
      <c r="M58" s="28">
        <f>VLOOKUP($E58,'[1]5.3.2 Emissions and intensity'!$E$315:$AJ$346,M$2+1,)</f>
        <v>0.12988</v>
      </c>
      <c r="N58" s="28">
        <f>VLOOKUP($E58,'[1]5.3.2 Emissions and intensity'!$E$315:$AJ$346,N$2+1,)</f>
        <v>0.12988</v>
      </c>
      <c r="O58" s="28">
        <f>VLOOKUP($E58,'[1]5.3.2 Emissions and intensity'!$E$315:$AJ$346,O$2+1,)</f>
        <v>0.12988</v>
      </c>
      <c r="P58" s="30">
        <f>VLOOKUP($E58,'[1]5.3.2 Emissions and intensity'!$E$315:$AJ$346,P$2+1,)</f>
        <v>0.12988</v>
      </c>
      <c r="Q58" s="28">
        <f>VLOOKUP($E58,'[1]5.3.2 Emissions and intensity'!$E$315:$AJ$346,Q$2+1,)</f>
        <v>0.11459999999999999</v>
      </c>
      <c r="R58" s="28">
        <f>VLOOKUP($E58,'[1]5.3.2 Emissions and intensity'!$E$315:$AJ$346,R$2+1,)</f>
        <v>0.11459999999999999</v>
      </c>
      <c r="S58" s="28">
        <f>VLOOKUP($E58,'[1]5.3.2 Emissions and intensity'!$E$315:$AJ$346,S$2+1,)</f>
        <v>0.11459999999999999</v>
      </c>
      <c r="T58" s="30">
        <f>VLOOKUP($E58,'[1]5.3.2 Emissions and intensity'!$E$315:$AJ$346,T$2+1,)</f>
        <v>0.11459999999999999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  <c r="AC58" s="31">
        <v>0</v>
      </c>
      <c r="AD58" s="31">
        <v>0</v>
      </c>
      <c r="AE58" s="31">
        <v>0</v>
      </c>
      <c r="AF58" s="31">
        <v>0</v>
      </c>
      <c r="AG58" s="31">
        <v>0</v>
      </c>
      <c r="AH58" s="31">
        <v>0</v>
      </c>
      <c r="AI58" s="31">
        <v>0</v>
      </c>
      <c r="AJ58" s="31">
        <v>0</v>
      </c>
    </row>
    <row r="59" spans="1:36" ht="16" thickTop="1" thickBot="1">
      <c r="B59" s="11"/>
      <c r="C59" s="21" t="s">
        <v>15</v>
      </c>
      <c r="D59" s="11" t="s">
        <v>18</v>
      </c>
      <c r="E59" s="20" t="str">
        <f t="shared" ref="E59:E67" si="4">C59&amp;D59</f>
        <v>BAUAlloys</v>
      </c>
      <c r="F59" s="32">
        <f>VLOOKUP($E59,'[1]5.3.2 Emissions and intensity'!$E$315:$AJ$346,F$2+1,)</f>
        <v>0.30560000000000004</v>
      </c>
      <c r="G59" s="33">
        <f>VLOOKUP($E59,'[1]5.3.2 Emissions and intensity'!$E$315:$AJ$346,G$2+1,)</f>
        <v>0.30498880000000006</v>
      </c>
      <c r="H59" s="33">
        <f>VLOOKUP($E59,'[1]5.3.2 Emissions and intensity'!$E$315:$AJ$346,H$2+1,)</f>
        <v>0.30437882240000003</v>
      </c>
      <c r="I59" s="33">
        <f>VLOOKUP($E59,'[1]5.3.2 Emissions and intensity'!$E$315:$AJ$346,I$2+1,)</f>
        <v>0.30377006475520002</v>
      </c>
      <c r="J59" s="33">
        <f>VLOOKUP($E59,'[1]5.3.2 Emissions and intensity'!$E$315:$AJ$346,J$2+1,)</f>
        <v>0.30316252462568966</v>
      </c>
      <c r="K59" s="33">
        <f>VLOOKUP($E59,'[1]5.3.2 Emissions and intensity'!$E$315:$AJ$346,K$2+1,)</f>
        <v>0.30255619957643826</v>
      </c>
      <c r="L59" s="34">
        <f>VLOOKUP($E59,'[1]5.3.2 Emissions and intensity'!$E$315:$AJ$346,L$2+1,)</f>
        <v>0.20780799999999999</v>
      </c>
      <c r="M59" s="33">
        <f>VLOOKUP($E59,'[1]5.3.2 Emissions and intensity'!$E$315:$AJ$346,M$2+1,)</f>
        <v>0.20780799999999999</v>
      </c>
      <c r="N59" s="33">
        <f>VLOOKUP($E59,'[1]5.3.2 Emissions and intensity'!$E$315:$AJ$346,N$2+1,)</f>
        <v>0.20780799999999999</v>
      </c>
      <c r="O59" s="33">
        <f>VLOOKUP($E59,'[1]5.3.2 Emissions and intensity'!$E$315:$AJ$346,O$2+1,)</f>
        <v>0.20780799999999999</v>
      </c>
      <c r="P59" s="35">
        <f>VLOOKUP($E59,'[1]5.3.2 Emissions and intensity'!$E$315:$AJ$346,P$2+1,)</f>
        <v>0.20780799999999999</v>
      </c>
      <c r="Q59" s="33">
        <f>VLOOKUP($E59,'[1]5.3.2 Emissions and intensity'!$E$315:$AJ$346,Q$2+1,)</f>
        <v>0.18336</v>
      </c>
      <c r="R59" s="33">
        <f>VLOOKUP($E59,'[1]5.3.2 Emissions and intensity'!$E$315:$AJ$346,R$2+1,)</f>
        <v>0.18336</v>
      </c>
      <c r="S59" s="33">
        <f>VLOOKUP($E59,'[1]5.3.2 Emissions and intensity'!$E$315:$AJ$346,S$2+1,)</f>
        <v>0.18336</v>
      </c>
      <c r="T59" s="35">
        <f>VLOOKUP($E59,'[1]5.3.2 Emissions and intensity'!$E$315:$AJ$346,T$2+1,)</f>
        <v>0.18336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  <c r="AC59" s="31">
        <v>0</v>
      </c>
      <c r="AD59" s="31">
        <v>0</v>
      </c>
      <c r="AE59" s="31">
        <v>0</v>
      </c>
      <c r="AF59" s="31">
        <v>0</v>
      </c>
      <c r="AG59" s="31">
        <v>0</v>
      </c>
      <c r="AH59" s="31">
        <v>0</v>
      </c>
      <c r="AI59" s="31">
        <v>0</v>
      </c>
      <c r="AJ59" s="31">
        <v>0</v>
      </c>
    </row>
    <row r="60" spans="1:36" ht="16" thickTop="1" thickBot="1">
      <c r="B60" s="11"/>
      <c r="C60" s="21" t="s">
        <v>15</v>
      </c>
      <c r="D60" s="11" t="s">
        <v>19</v>
      </c>
      <c r="E60" s="20" t="str">
        <f t="shared" si="4"/>
        <v>BAUPig iron (BF)</v>
      </c>
      <c r="F60" s="32">
        <f>VLOOKUP($E60,'[1]5.3.2 Emissions and intensity'!$E$315:$AJ$346,F$2+1,)</f>
        <v>1.3686</v>
      </c>
      <c r="G60" s="33">
        <f>VLOOKUP($E60,'[1]5.3.2 Emissions and intensity'!$E$315:$AJ$346,G$2+1,)</f>
        <v>1.3658627999999999</v>
      </c>
      <c r="H60" s="33">
        <f>VLOOKUP($E60,'[1]5.3.2 Emissions and intensity'!$E$315:$AJ$346,H$2+1,)</f>
        <v>1.3631310744</v>
      </c>
      <c r="I60" s="33">
        <f>VLOOKUP($E60,'[1]5.3.2 Emissions and intensity'!$E$315:$AJ$346,I$2+1,)</f>
        <v>1.3604048122512</v>
      </c>
      <c r="J60" s="33">
        <f>VLOOKUP($E60,'[1]5.3.2 Emissions and intensity'!$E$315:$AJ$346,J$2+1,)</f>
        <v>1.3576840026266976</v>
      </c>
      <c r="K60" s="33">
        <f>VLOOKUP($E60,'[1]5.3.2 Emissions and intensity'!$E$315:$AJ$346,K$2+1,)</f>
        <v>1.3549686346214442</v>
      </c>
      <c r="L60" s="34">
        <f>VLOOKUP($E60,'[1]5.3.2 Emissions and intensity'!$E$315:$AJ$346,L$2+1,)</f>
        <v>1.3138560000000001</v>
      </c>
      <c r="M60" s="33">
        <f>VLOOKUP($E60,'[1]5.3.2 Emissions and intensity'!$E$315:$AJ$346,M$2+1,)</f>
        <v>1.3138560000000001</v>
      </c>
      <c r="N60" s="33">
        <f>VLOOKUP($E60,'[1]5.3.2 Emissions and intensity'!$E$315:$AJ$346,N$2+1,)</f>
        <v>1.3138560000000001</v>
      </c>
      <c r="O60" s="33">
        <f>VLOOKUP($E60,'[1]5.3.2 Emissions and intensity'!$E$315:$AJ$346,O$2+1,)</f>
        <v>1.3138560000000001</v>
      </c>
      <c r="P60" s="35">
        <f>VLOOKUP($E60,'[1]5.3.2 Emissions and intensity'!$E$315:$AJ$346,P$2+1,)</f>
        <v>1.3138560000000001</v>
      </c>
      <c r="Q60" s="33">
        <f>VLOOKUP($E60,'[1]5.3.2 Emissions and intensity'!$E$315:$AJ$346,Q$2+1,)</f>
        <v>1.30017</v>
      </c>
      <c r="R60" s="33">
        <f>VLOOKUP($E60,'[1]5.3.2 Emissions and intensity'!$E$315:$AJ$346,R$2+1,)</f>
        <v>1.30017</v>
      </c>
      <c r="S60" s="33">
        <f>VLOOKUP($E60,'[1]5.3.2 Emissions and intensity'!$E$315:$AJ$346,S$2+1,)</f>
        <v>1.30017</v>
      </c>
      <c r="T60" s="35">
        <f>VLOOKUP($E60,'[1]5.3.2 Emissions and intensity'!$E$315:$AJ$346,T$2+1,)</f>
        <v>1.30017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  <c r="AC60" s="31">
        <v>0</v>
      </c>
      <c r="AD60" s="31">
        <v>0</v>
      </c>
      <c r="AE60" s="31">
        <v>0</v>
      </c>
      <c r="AF60" s="31">
        <v>0</v>
      </c>
      <c r="AG60" s="31">
        <v>0</v>
      </c>
      <c r="AH60" s="31">
        <v>0</v>
      </c>
      <c r="AI60" s="31">
        <v>0</v>
      </c>
      <c r="AJ60" s="31">
        <v>0</v>
      </c>
    </row>
    <row r="61" spans="1:36" ht="16" thickTop="1" thickBot="1">
      <c r="B61" s="11"/>
      <c r="C61" s="21" t="s">
        <v>15</v>
      </c>
      <c r="D61" s="11" t="s">
        <v>20</v>
      </c>
      <c r="E61" s="20" t="str">
        <f t="shared" si="4"/>
        <v>BAUPig iron (smelting reduction)</v>
      </c>
      <c r="F61" s="32">
        <f>VLOOKUP($E61,'[1]5.3.2 Emissions and intensity'!$E$315:$AJ$346,F$2+1,)</f>
        <v>0.30560000000000004</v>
      </c>
      <c r="G61" s="33">
        <f>VLOOKUP($E61,'[1]5.3.2 Emissions and intensity'!$E$315:$AJ$346,G$2+1,)</f>
        <v>0.30498880000000006</v>
      </c>
      <c r="H61" s="33">
        <f>VLOOKUP($E61,'[1]5.3.2 Emissions and intensity'!$E$315:$AJ$346,H$2+1,)</f>
        <v>0.30437882240000003</v>
      </c>
      <c r="I61" s="33">
        <f>VLOOKUP($E61,'[1]5.3.2 Emissions and intensity'!$E$315:$AJ$346,I$2+1,)</f>
        <v>0.30377006475520002</v>
      </c>
      <c r="J61" s="33">
        <f>VLOOKUP($E61,'[1]5.3.2 Emissions and intensity'!$E$315:$AJ$346,J$2+1,)</f>
        <v>0.30316252462568966</v>
      </c>
      <c r="K61" s="33">
        <f>VLOOKUP($E61,'[1]5.3.2 Emissions and intensity'!$E$315:$AJ$346,K$2+1,)</f>
        <v>0.30255619957643826</v>
      </c>
      <c r="L61" s="34">
        <f>VLOOKUP($E61,'[1]5.3.2 Emissions and intensity'!$E$315:$AJ$346,L$2+1,)</f>
        <v>0.20780799999999999</v>
      </c>
      <c r="M61" s="33">
        <f>VLOOKUP($E61,'[1]5.3.2 Emissions and intensity'!$E$315:$AJ$346,M$2+1,)</f>
        <v>0.20780799999999999</v>
      </c>
      <c r="N61" s="33">
        <f>VLOOKUP($E61,'[1]5.3.2 Emissions and intensity'!$E$315:$AJ$346,N$2+1,)</f>
        <v>0.20780799999999999</v>
      </c>
      <c r="O61" s="33">
        <f>VLOOKUP($E61,'[1]5.3.2 Emissions and intensity'!$E$315:$AJ$346,O$2+1,)</f>
        <v>0.20780799999999999</v>
      </c>
      <c r="P61" s="35">
        <f>VLOOKUP($E61,'[1]5.3.2 Emissions and intensity'!$E$315:$AJ$346,P$2+1,)</f>
        <v>0.20780799999999999</v>
      </c>
      <c r="Q61" s="33">
        <f>VLOOKUP($E61,'[1]5.3.2 Emissions and intensity'!$E$315:$AJ$346,Q$2+1,)</f>
        <v>0.18336</v>
      </c>
      <c r="R61" s="33">
        <f>VLOOKUP($E61,'[1]5.3.2 Emissions and intensity'!$E$315:$AJ$346,R$2+1,)</f>
        <v>0.18336</v>
      </c>
      <c r="S61" s="33">
        <f>VLOOKUP($E61,'[1]5.3.2 Emissions and intensity'!$E$315:$AJ$346,S$2+1,)</f>
        <v>0.18336</v>
      </c>
      <c r="T61" s="35">
        <f>VLOOKUP($E61,'[1]5.3.2 Emissions and intensity'!$E$315:$AJ$346,T$2+1,)</f>
        <v>0.18336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  <c r="AC61" s="31">
        <v>0</v>
      </c>
      <c r="AD61" s="31">
        <v>0</v>
      </c>
      <c r="AE61" s="31">
        <v>0</v>
      </c>
      <c r="AF61" s="31">
        <v>0</v>
      </c>
      <c r="AG61" s="31">
        <v>0</v>
      </c>
      <c r="AH61" s="31">
        <v>0</v>
      </c>
      <c r="AI61" s="31">
        <v>0</v>
      </c>
      <c r="AJ61" s="31">
        <v>0</v>
      </c>
    </row>
    <row r="62" spans="1:36" ht="16" thickTop="1" thickBot="1">
      <c r="A62" s="5"/>
      <c r="B62" s="11"/>
      <c r="C62" s="21" t="s">
        <v>15</v>
      </c>
      <c r="D62" s="11" t="s">
        <v>21</v>
      </c>
      <c r="E62" s="20" t="str">
        <f t="shared" si="4"/>
        <v>BAUDRI</v>
      </c>
      <c r="F62" s="32">
        <f>VLOOKUP($E62,'[1]5.3.2 Emissions and intensity'!$E$315:$AJ$346,F$2+1,)</f>
        <v>0.30560000000000004</v>
      </c>
      <c r="G62" s="33">
        <f>VLOOKUP($E62,'[1]5.3.2 Emissions and intensity'!$E$315:$AJ$346,G$2+1,)</f>
        <v>0.30498880000000006</v>
      </c>
      <c r="H62" s="33">
        <f>VLOOKUP($E62,'[1]5.3.2 Emissions and intensity'!$E$315:$AJ$346,H$2+1,)</f>
        <v>0.30437882240000003</v>
      </c>
      <c r="I62" s="33">
        <f>VLOOKUP($E62,'[1]5.3.2 Emissions and intensity'!$E$315:$AJ$346,I$2+1,)</f>
        <v>0.30377006475520002</v>
      </c>
      <c r="J62" s="33">
        <f>VLOOKUP($E62,'[1]5.3.2 Emissions and intensity'!$E$315:$AJ$346,J$2+1,)</f>
        <v>0.30316252462568966</v>
      </c>
      <c r="K62" s="33">
        <f>VLOOKUP($E62,'[1]5.3.2 Emissions and intensity'!$E$315:$AJ$346,K$2+1,)</f>
        <v>0.30255619957643826</v>
      </c>
      <c r="L62" s="34">
        <f>VLOOKUP($E62,'[1]5.3.2 Emissions and intensity'!$E$315:$AJ$346,L$2+1,)</f>
        <v>0.20780799999999999</v>
      </c>
      <c r="M62" s="33">
        <f>VLOOKUP($E62,'[1]5.3.2 Emissions and intensity'!$E$315:$AJ$346,M$2+1,)</f>
        <v>0.20780799999999999</v>
      </c>
      <c r="N62" s="33">
        <f>VLOOKUP($E62,'[1]5.3.2 Emissions and intensity'!$E$315:$AJ$346,N$2+1,)</f>
        <v>0.20780799999999999</v>
      </c>
      <c r="O62" s="33">
        <f>VLOOKUP($E62,'[1]5.3.2 Emissions and intensity'!$E$315:$AJ$346,O$2+1,)</f>
        <v>0.20780799999999999</v>
      </c>
      <c r="P62" s="35">
        <f>VLOOKUP($E62,'[1]5.3.2 Emissions and intensity'!$E$315:$AJ$346,P$2+1,)</f>
        <v>0.20780799999999999</v>
      </c>
      <c r="Q62" s="33">
        <f>VLOOKUP($E62,'[1]5.3.2 Emissions and intensity'!$E$315:$AJ$346,Q$2+1,)</f>
        <v>0.18336</v>
      </c>
      <c r="R62" s="33">
        <f>VLOOKUP($E62,'[1]5.3.2 Emissions and intensity'!$E$315:$AJ$346,R$2+1,)</f>
        <v>0.18336</v>
      </c>
      <c r="S62" s="33">
        <f>VLOOKUP($E62,'[1]5.3.2 Emissions and intensity'!$E$315:$AJ$346,S$2+1,)</f>
        <v>0.18336</v>
      </c>
      <c r="T62" s="35">
        <f>VLOOKUP($E62,'[1]5.3.2 Emissions and intensity'!$E$315:$AJ$346,T$2+1,)</f>
        <v>0.18336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>
        <v>0</v>
      </c>
      <c r="AG62" s="31">
        <v>0</v>
      </c>
      <c r="AH62" s="31">
        <v>0</v>
      </c>
      <c r="AI62" s="31">
        <v>0</v>
      </c>
      <c r="AJ62" s="31">
        <v>0</v>
      </c>
    </row>
    <row r="63" spans="1:36" ht="16" thickTop="1" thickBot="1">
      <c r="A63" s="5"/>
      <c r="B63" s="11"/>
      <c r="C63" s="21" t="s">
        <v>15</v>
      </c>
      <c r="D63" s="11" t="s">
        <v>22</v>
      </c>
      <c r="E63" s="20" t="str">
        <f t="shared" si="4"/>
        <v>BAUCrude steel (BOF route)</v>
      </c>
      <c r="F63" s="32">
        <f>VLOOKUP($E63,'[1]5.3.2 Emissions and intensity'!$E$315:$AJ$346,F$2+1,)</f>
        <v>1.6742000000000001</v>
      </c>
      <c r="G63" s="33">
        <f>VLOOKUP($E63,'[1]5.3.2 Emissions and intensity'!$E$315:$AJ$346,G$2+1,)</f>
        <v>1.6708516</v>
      </c>
      <c r="H63" s="33">
        <f>VLOOKUP($E63,'[1]5.3.2 Emissions and intensity'!$E$315:$AJ$346,H$2+1,)</f>
        <v>1.6675098967999999</v>
      </c>
      <c r="I63" s="33">
        <f>VLOOKUP($E63,'[1]5.3.2 Emissions and intensity'!$E$315:$AJ$346,I$2+1,)</f>
        <v>1.6641748770064</v>
      </c>
      <c r="J63" s="33">
        <f>VLOOKUP($E63,'[1]5.3.2 Emissions and intensity'!$E$315:$AJ$346,J$2+1,)</f>
        <v>1.6608465272523874</v>
      </c>
      <c r="K63" s="33">
        <f>VLOOKUP($E63,'[1]5.3.2 Emissions and intensity'!$E$315:$AJ$346,K$2+1,)</f>
        <v>1.6575248341978825</v>
      </c>
      <c r="L63" s="34">
        <f>VLOOKUP($E63,'[1]5.3.2 Emissions and intensity'!$E$315:$AJ$346,L$2+1,)</f>
        <v>1.5216640000000001</v>
      </c>
      <c r="M63" s="33">
        <f>VLOOKUP($E63,'[1]5.3.2 Emissions and intensity'!$E$315:$AJ$346,M$2+1,)</f>
        <v>1.5216640000000001</v>
      </c>
      <c r="N63" s="33">
        <f>VLOOKUP($E63,'[1]5.3.2 Emissions and intensity'!$E$315:$AJ$346,N$2+1,)</f>
        <v>1.5216640000000001</v>
      </c>
      <c r="O63" s="33">
        <f>VLOOKUP($E63,'[1]5.3.2 Emissions and intensity'!$E$315:$AJ$346,O$2+1,)</f>
        <v>1.5216640000000001</v>
      </c>
      <c r="P63" s="35">
        <f>VLOOKUP($E63,'[1]5.3.2 Emissions and intensity'!$E$315:$AJ$346,P$2+1,)</f>
        <v>1.5216640000000001</v>
      </c>
      <c r="Q63" s="33">
        <f>VLOOKUP($E63,'[1]5.3.2 Emissions and intensity'!$E$315:$AJ$346,Q$2+1,)</f>
        <v>1.48353</v>
      </c>
      <c r="R63" s="33">
        <f>VLOOKUP($E63,'[1]5.3.2 Emissions and intensity'!$E$315:$AJ$346,R$2+1,)</f>
        <v>1.48353</v>
      </c>
      <c r="S63" s="33">
        <f>VLOOKUP($E63,'[1]5.3.2 Emissions and intensity'!$E$315:$AJ$346,S$2+1,)</f>
        <v>1.48353</v>
      </c>
      <c r="T63" s="35">
        <f>VLOOKUP($E63,'[1]5.3.2 Emissions and intensity'!$E$315:$AJ$346,T$2+1,)</f>
        <v>1.48353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  <c r="AC63" s="31">
        <v>0</v>
      </c>
      <c r="AD63" s="31">
        <v>0</v>
      </c>
      <c r="AE63" s="31">
        <v>0</v>
      </c>
      <c r="AF63" s="31">
        <v>0</v>
      </c>
      <c r="AG63" s="31">
        <v>0</v>
      </c>
      <c r="AH63" s="31">
        <v>0</v>
      </c>
      <c r="AI63" s="31">
        <v>0</v>
      </c>
      <c r="AJ63" s="31">
        <v>0</v>
      </c>
    </row>
    <row r="64" spans="1:36" ht="15" customHeight="1" thickTop="1" thickBot="1">
      <c r="A64" s="40"/>
      <c r="B64" s="11"/>
      <c r="C64" s="21" t="s">
        <v>15</v>
      </c>
      <c r="D64" s="11" t="s">
        <v>23</v>
      </c>
      <c r="E64" s="20" t="str">
        <f t="shared" si="4"/>
        <v>BAUCrude steel (EAF route)</v>
      </c>
      <c r="F64" s="32">
        <f>VLOOKUP($E64,'[1]5.3.2 Emissions and intensity'!$E$315:$AJ$346,F$2+1,)</f>
        <v>0.37140000000000001</v>
      </c>
      <c r="G64" s="33">
        <f>VLOOKUP($E64,'[1]5.3.2 Emissions and intensity'!$E$315:$AJ$346,G$2+1,)</f>
        <v>0.37065720000000002</v>
      </c>
      <c r="H64" s="33">
        <f>VLOOKUP($E64,'[1]5.3.2 Emissions and intensity'!$E$315:$AJ$346,H$2+1,)</f>
        <v>0.36991588559999999</v>
      </c>
      <c r="I64" s="33">
        <f>VLOOKUP($E64,'[1]5.3.2 Emissions and intensity'!$E$315:$AJ$346,I$2+1,)</f>
        <v>0.36917605382879998</v>
      </c>
      <c r="J64" s="33">
        <f>VLOOKUP($E64,'[1]5.3.2 Emissions and intensity'!$E$315:$AJ$346,J$2+1,)</f>
        <v>0.36843770172114237</v>
      </c>
      <c r="K64" s="33">
        <f>VLOOKUP($E64,'[1]5.3.2 Emissions and intensity'!$E$315:$AJ$346,K$2+1,)</f>
        <v>0.36770082631770007</v>
      </c>
      <c r="L64" s="34">
        <f>VLOOKUP($E64,'[1]5.3.2 Emissions and intensity'!$E$315:$AJ$346,L$2+1,)</f>
        <v>0.252552</v>
      </c>
      <c r="M64" s="33">
        <f>VLOOKUP($E64,'[1]5.3.2 Emissions and intensity'!$E$315:$AJ$346,M$2+1,)</f>
        <v>0.252552</v>
      </c>
      <c r="N64" s="33">
        <f>VLOOKUP($E64,'[1]5.3.2 Emissions and intensity'!$E$315:$AJ$346,N$2+1,)</f>
        <v>0.252552</v>
      </c>
      <c r="O64" s="33">
        <f>VLOOKUP($E64,'[1]5.3.2 Emissions and intensity'!$E$315:$AJ$346,O$2+1,)</f>
        <v>0.252552</v>
      </c>
      <c r="P64" s="35">
        <f>VLOOKUP($E64,'[1]5.3.2 Emissions and intensity'!$E$315:$AJ$346,P$2+1,)</f>
        <v>0.252552</v>
      </c>
      <c r="Q64" s="33">
        <f>VLOOKUP($E64,'[1]5.3.2 Emissions and intensity'!$E$315:$AJ$346,Q$2+1,)</f>
        <v>0.22283999999999998</v>
      </c>
      <c r="R64" s="33">
        <f>VLOOKUP($E64,'[1]5.3.2 Emissions and intensity'!$E$315:$AJ$346,R$2+1,)</f>
        <v>0.22283999999999998</v>
      </c>
      <c r="S64" s="33">
        <f>VLOOKUP($E64,'[1]5.3.2 Emissions and intensity'!$E$315:$AJ$346,S$2+1,)</f>
        <v>0.22283999999999998</v>
      </c>
      <c r="T64" s="35">
        <f>VLOOKUP($E64,'[1]5.3.2 Emissions and intensity'!$E$315:$AJ$346,T$2+1,)</f>
        <v>0.22283999999999998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  <c r="AC64" s="31">
        <v>0</v>
      </c>
      <c r="AD64" s="31">
        <v>0</v>
      </c>
      <c r="AE64" s="31">
        <v>0</v>
      </c>
      <c r="AF64" s="31">
        <v>0</v>
      </c>
      <c r="AG64" s="31">
        <v>0</v>
      </c>
      <c r="AH64" s="31">
        <v>0</v>
      </c>
      <c r="AI64" s="31">
        <v>0</v>
      </c>
      <c r="AJ64" s="31">
        <v>0</v>
      </c>
    </row>
    <row r="65" spans="1:36" ht="16" thickTop="1" thickBot="1">
      <c r="A65" s="40"/>
      <c r="B65" s="11"/>
      <c r="C65" s="21" t="s">
        <v>15</v>
      </c>
      <c r="D65" s="11" t="s">
        <v>24</v>
      </c>
      <c r="E65" s="20" t="str">
        <f t="shared" si="4"/>
        <v>BAUSteel (BF-BOF route)</v>
      </c>
      <c r="F65" s="32">
        <f>VLOOKUP($E65,'[1]5.3.2 Emissions and intensity'!$E$315:$AJ$346,F$2+1,)</f>
        <v>1.8633846000000001</v>
      </c>
      <c r="G65" s="33">
        <f>VLOOKUP($E65,'[1]5.3.2 Emissions and intensity'!$E$315:$AJ$346,G$2+1,)</f>
        <v>1.8596578308</v>
      </c>
      <c r="H65" s="33">
        <f>VLOOKUP($E65,'[1]5.3.2 Emissions and intensity'!$E$315:$AJ$346,H$2+1,)</f>
        <v>1.8559385151384</v>
      </c>
      <c r="I65" s="33">
        <f>VLOOKUP($E65,'[1]5.3.2 Emissions and intensity'!$E$315:$AJ$346,I$2+1,)</f>
        <v>1.8522266381081232</v>
      </c>
      <c r="J65" s="33">
        <f>VLOOKUP($E65,'[1]5.3.2 Emissions and intensity'!$E$315:$AJ$346,J$2+1,)</f>
        <v>1.8485221848319071</v>
      </c>
      <c r="K65" s="33">
        <f>VLOOKUP($E65,'[1]5.3.2 Emissions and intensity'!$E$315:$AJ$346,K$2+1,)</f>
        <v>1.8448251404622433</v>
      </c>
      <c r="L65" s="34">
        <f>VLOOKUP($E65,'[1]5.3.2 Emissions and intensity'!$E$315:$AJ$346,L$2+1,)</f>
        <v>1.6936120320000001</v>
      </c>
      <c r="M65" s="33">
        <f>VLOOKUP($E65,'[1]5.3.2 Emissions and intensity'!$E$315:$AJ$346,M$2+1,)</f>
        <v>1.6936120320000001</v>
      </c>
      <c r="N65" s="33">
        <f>VLOOKUP($E65,'[1]5.3.2 Emissions and intensity'!$E$315:$AJ$346,N$2+1,)</f>
        <v>1.6936120320000001</v>
      </c>
      <c r="O65" s="33">
        <f>VLOOKUP($E65,'[1]5.3.2 Emissions and intensity'!$E$315:$AJ$346,O$2+1,)</f>
        <v>1.6936120320000001</v>
      </c>
      <c r="P65" s="35">
        <f>VLOOKUP($E65,'[1]5.3.2 Emissions and intensity'!$E$315:$AJ$346,P$2+1,)</f>
        <v>1.6936120320000001</v>
      </c>
      <c r="Q65" s="33">
        <f>VLOOKUP($E65,'[1]5.3.2 Emissions and intensity'!$E$315:$AJ$346,Q$2+1,)</f>
        <v>1.6511688900000001</v>
      </c>
      <c r="R65" s="33">
        <f>VLOOKUP($E65,'[1]5.3.2 Emissions and intensity'!$E$315:$AJ$346,R$2+1,)</f>
        <v>1.6511688900000001</v>
      </c>
      <c r="S65" s="33">
        <f>VLOOKUP($E65,'[1]5.3.2 Emissions and intensity'!$E$315:$AJ$346,S$2+1,)</f>
        <v>1.6511688900000001</v>
      </c>
      <c r="T65" s="35">
        <f>VLOOKUP($E65,'[1]5.3.2 Emissions and intensity'!$E$315:$AJ$346,T$2+1,)</f>
        <v>1.6511688900000001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  <c r="AC65" s="31">
        <v>0</v>
      </c>
      <c r="AD65" s="31">
        <v>0</v>
      </c>
      <c r="AE65" s="31">
        <v>0</v>
      </c>
      <c r="AF65" s="31">
        <v>0</v>
      </c>
      <c r="AG65" s="31">
        <v>0</v>
      </c>
      <c r="AH65" s="31">
        <v>0</v>
      </c>
      <c r="AI65" s="31">
        <v>0</v>
      </c>
      <c r="AJ65" s="31">
        <v>0</v>
      </c>
    </row>
    <row r="66" spans="1:36" ht="16" thickTop="1" thickBot="1">
      <c r="A66" s="40"/>
      <c r="B66" s="11"/>
      <c r="C66" s="21" t="s">
        <v>15</v>
      </c>
      <c r="D66" s="11" t="s">
        <v>25</v>
      </c>
      <c r="E66" s="20" t="str">
        <f t="shared" si="4"/>
        <v>BAUSteel (DRI-EAF route)</v>
      </c>
      <c r="F66" s="32">
        <f>VLOOKUP($E66,'[1]5.3.2 Emissions and intensity'!$E$315:$AJ$346,F$2+1,)</f>
        <v>0.67700000000000005</v>
      </c>
      <c r="G66" s="33">
        <f>VLOOKUP($E66,'[1]5.3.2 Emissions and intensity'!$E$315:$AJ$346,G$2+1,)</f>
        <v>0.62284000000000006</v>
      </c>
      <c r="H66" s="33">
        <f>VLOOKUP($E66,'[1]5.3.2 Emissions and intensity'!$E$315:$AJ$346,H$2+1,)</f>
        <v>0.62284000000000006</v>
      </c>
      <c r="I66" s="33">
        <f>VLOOKUP($E66,'[1]5.3.2 Emissions and intensity'!$E$315:$AJ$346,I$2+1,)</f>
        <v>0.62284000000000006</v>
      </c>
      <c r="J66" s="33">
        <f>VLOOKUP($E66,'[1]5.3.2 Emissions and intensity'!$E$315:$AJ$346,J$2+1,)</f>
        <v>0.62284000000000006</v>
      </c>
      <c r="K66" s="33">
        <f>VLOOKUP($E66,'[1]5.3.2 Emissions and intensity'!$E$315:$AJ$346,K$2+1,)</f>
        <v>0.62284000000000006</v>
      </c>
      <c r="L66" s="34">
        <f>VLOOKUP($E66,'[1]5.3.2 Emissions and intensity'!$E$315:$AJ$346,L$2+1,)</f>
        <v>0.56868000000000007</v>
      </c>
      <c r="M66" s="33">
        <f>VLOOKUP($E66,'[1]5.3.2 Emissions and intensity'!$E$315:$AJ$346,M$2+1,)</f>
        <v>0.56868000000000007</v>
      </c>
      <c r="N66" s="33">
        <f>VLOOKUP($E66,'[1]5.3.2 Emissions and intensity'!$E$315:$AJ$346,N$2+1,)</f>
        <v>0.56868000000000007</v>
      </c>
      <c r="O66" s="33">
        <f>VLOOKUP($E66,'[1]5.3.2 Emissions and intensity'!$E$315:$AJ$346,O$2+1,)</f>
        <v>0.56868000000000007</v>
      </c>
      <c r="P66" s="35">
        <f>VLOOKUP($E66,'[1]5.3.2 Emissions and intensity'!$E$315:$AJ$346,P$2+1,)</f>
        <v>0.56868000000000007</v>
      </c>
      <c r="Q66" s="33">
        <f>VLOOKUP($E66,'[1]5.3.2 Emissions and intensity'!$E$315:$AJ$346,Q$2+1,)</f>
        <v>0.51452000000000009</v>
      </c>
      <c r="R66" s="33">
        <f>VLOOKUP($E66,'[1]5.3.2 Emissions and intensity'!$E$315:$AJ$346,R$2+1,)</f>
        <v>0.51452000000000009</v>
      </c>
      <c r="S66" s="33">
        <f>VLOOKUP($E66,'[1]5.3.2 Emissions and intensity'!$E$315:$AJ$346,S$2+1,)</f>
        <v>0.51452000000000009</v>
      </c>
      <c r="T66" s="35">
        <f>VLOOKUP($E66,'[1]5.3.2 Emissions and intensity'!$E$315:$AJ$346,T$2+1,)</f>
        <v>0.51452000000000009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  <c r="AC66" s="31">
        <v>0</v>
      </c>
      <c r="AD66" s="31">
        <v>0</v>
      </c>
      <c r="AE66" s="31">
        <v>0</v>
      </c>
      <c r="AF66" s="31">
        <v>0</v>
      </c>
      <c r="AG66" s="31">
        <v>0</v>
      </c>
      <c r="AH66" s="31">
        <v>0</v>
      </c>
      <c r="AI66" s="31">
        <v>0</v>
      </c>
      <c r="AJ66" s="31">
        <v>0</v>
      </c>
    </row>
    <row r="67" spans="1:36" ht="15" customHeight="1" thickTop="1" thickBot="1">
      <c r="A67" s="40"/>
      <c r="B67" s="11"/>
      <c r="C67" s="21" t="s">
        <v>15</v>
      </c>
      <c r="D67" s="11" t="s">
        <v>26</v>
      </c>
      <c r="E67" s="20" t="str">
        <f t="shared" si="4"/>
        <v>BAUSteel (Scrap-EAF route)</v>
      </c>
      <c r="F67" s="36">
        <f>VLOOKUP($E67,'[1]5.3.2 Emissions and intensity'!$E$315:$AJ$346,F$2+1,)</f>
        <v>0.37140000000000001</v>
      </c>
      <c r="G67" s="37">
        <f>VLOOKUP($E67,'[1]5.3.2 Emissions and intensity'!$E$315:$AJ$346,G$2+1,)</f>
        <v>0.37065720000000002</v>
      </c>
      <c r="H67" s="37">
        <f>VLOOKUP($E67,'[1]5.3.2 Emissions and intensity'!$E$315:$AJ$346,H$2+1,)</f>
        <v>0.36991588559999999</v>
      </c>
      <c r="I67" s="37">
        <f>VLOOKUP($E67,'[1]5.3.2 Emissions and intensity'!$E$315:$AJ$346,I$2+1,)</f>
        <v>0.36917605382879998</v>
      </c>
      <c r="J67" s="37">
        <f>VLOOKUP($E67,'[1]5.3.2 Emissions and intensity'!$E$315:$AJ$346,J$2+1,)</f>
        <v>0.36843770172114237</v>
      </c>
      <c r="K67" s="37">
        <f>VLOOKUP($E67,'[1]5.3.2 Emissions and intensity'!$E$315:$AJ$346,K$2+1,)</f>
        <v>0.36770082631770007</v>
      </c>
      <c r="L67" s="38">
        <f>VLOOKUP($E67,'[1]5.3.2 Emissions and intensity'!$E$315:$AJ$346,L$2+1,)</f>
        <v>0.252552</v>
      </c>
      <c r="M67" s="37">
        <f>VLOOKUP($E67,'[1]5.3.2 Emissions and intensity'!$E$315:$AJ$346,M$2+1,)</f>
        <v>0.252552</v>
      </c>
      <c r="N67" s="37">
        <f>VLOOKUP($E67,'[1]5.3.2 Emissions and intensity'!$E$315:$AJ$346,N$2+1,)</f>
        <v>0.252552</v>
      </c>
      <c r="O67" s="37">
        <f>VLOOKUP($E67,'[1]5.3.2 Emissions and intensity'!$E$315:$AJ$346,O$2+1,)</f>
        <v>0.252552</v>
      </c>
      <c r="P67" s="39">
        <f>VLOOKUP($E67,'[1]5.3.2 Emissions and intensity'!$E$315:$AJ$346,P$2+1,)</f>
        <v>0.252552</v>
      </c>
      <c r="Q67" s="37">
        <f>VLOOKUP($E67,'[1]5.3.2 Emissions and intensity'!$E$315:$AJ$346,Q$2+1,)</f>
        <v>0.22283999999999998</v>
      </c>
      <c r="R67" s="37">
        <f>VLOOKUP($E67,'[1]5.3.2 Emissions and intensity'!$E$315:$AJ$346,R$2+1,)</f>
        <v>0.22283999999999998</v>
      </c>
      <c r="S67" s="37">
        <f>VLOOKUP($E67,'[1]5.3.2 Emissions and intensity'!$E$315:$AJ$346,S$2+1,)</f>
        <v>0.22283999999999998</v>
      </c>
      <c r="T67" s="39">
        <f>VLOOKUP($E67,'[1]5.3.2 Emissions and intensity'!$E$315:$AJ$346,T$2+1,)</f>
        <v>0.22283999999999998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  <c r="AC67" s="31">
        <v>0</v>
      </c>
      <c r="AD67" s="31">
        <v>0</v>
      </c>
      <c r="AE67" s="31">
        <v>0</v>
      </c>
      <c r="AF67" s="31">
        <v>0</v>
      </c>
      <c r="AG67" s="31">
        <v>0</v>
      </c>
      <c r="AH67" s="31">
        <v>0</v>
      </c>
      <c r="AI67" s="31">
        <v>0</v>
      </c>
      <c r="AJ67" s="31">
        <v>0</v>
      </c>
    </row>
    <row r="68" spans="1:36" ht="15" thickBot="1">
      <c r="A68" s="40"/>
      <c r="B68" s="1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</row>
    <row r="69" spans="1:36" ht="16" thickTop="1" thickBot="1">
      <c r="A69" s="40"/>
      <c r="B69" s="11"/>
      <c r="C69" s="21" t="s">
        <v>16</v>
      </c>
      <c r="D69" s="11" t="s">
        <v>17</v>
      </c>
      <c r="E69" s="20" t="str">
        <f>C69&amp;D69</f>
        <v>DCSSintered ore</v>
      </c>
      <c r="F69" s="27">
        <f>VLOOKUP($E69,'[1]5.3.2 Emissions and intensity'!$E$315:$AJ$346,F$2+1,)</f>
        <v>0.191</v>
      </c>
      <c r="G69" s="28">
        <f>VLOOKUP($E69,'[1]5.3.2 Emissions and intensity'!$E$315:$AJ$346,G$2+1,)</f>
        <v>0.19023600000000002</v>
      </c>
      <c r="H69" s="28">
        <f>VLOOKUP($E69,'[1]5.3.2 Emissions and intensity'!$E$315:$AJ$346,H$2+1,)</f>
        <v>0.189475056</v>
      </c>
      <c r="I69" s="28">
        <f>VLOOKUP($E69,'[1]5.3.2 Emissions and intensity'!$E$315:$AJ$346,I$2+1,)</f>
        <v>0.18871715577600001</v>
      </c>
      <c r="J69" s="28">
        <f>VLOOKUP($E69,'[1]5.3.2 Emissions and intensity'!$E$315:$AJ$346,J$2+1,)</f>
        <v>0.18796228715289601</v>
      </c>
      <c r="K69" s="28">
        <f>VLOOKUP($E69,'[1]5.3.2 Emissions and intensity'!$E$315:$AJ$346,K$2+1,)</f>
        <v>0.18721043800428441</v>
      </c>
      <c r="L69" s="29">
        <f>VLOOKUP($E69,'[1]5.3.2 Emissions and intensity'!$E$315:$AJ$346,L$2+1,)</f>
        <v>0.11460000000000001</v>
      </c>
      <c r="M69" s="28">
        <f>VLOOKUP($E69,'[1]5.3.2 Emissions and intensity'!$E$315:$AJ$346,M$2+1,)</f>
        <v>0.11460000000000001</v>
      </c>
      <c r="N69" s="28">
        <f>VLOOKUP($E69,'[1]5.3.2 Emissions and intensity'!$E$315:$AJ$346,N$2+1,)</f>
        <v>0.11460000000000001</v>
      </c>
      <c r="O69" s="28">
        <f>VLOOKUP($E69,'[1]5.3.2 Emissions and intensity'!$E$315:$AJ$346,O$2+1,)</f>
        <v>0.11460000000000001</v>
      </c>
      <c r="P69" s="30">
        <f>VLOOKUP($E69,'[1]5.3.2 Emissions and intensity'!$E$315:$AJ$346,P$2+1,)</f>
        <v>0.11460000000000001</v>
      </c>
      <c r="Q69" s="28">
        <f>VLOOKUP($E69,'[1]5.3.2 Emissions and intensity'!$E$315:$AJ$346,Q$2+1,)</f>
        <v>9.5500000000000002E-2</v>
      </c>
      <c r="R69" s="28">
        <f>VLOOKUP($E69,'[1]5.3.2 Emissions and intensity'!$E$315:$AJ$346,R$2+1,)</f>
        <v>9.5500000000000002E-2</v>
      </c>
      <c r="S69" s="28">
        <f>VLOOKUP($E69,'[1]5.3.2 Emissions and intensity'!$E$315:$AJ$346,S$2+1,)</f>
        <v>9.5500000000000002E-2</v>
      </c>
      <c r="T69" s="30">
        <f>VLOOKUP($E69,'[1]5.3.2 Emissions and intensity'!$E$315:$AJ$346,T$2+1,)</f>
        <v>9.5500000000000002E-2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  <c r="AC69" s="31">
        <v>0</v>
      </c>
      <c r="AD69" s="31">
        <v>0</v>
      </c>
      <c r="AE69" s="31">
        <v>0</v>
      </c>
      <c r="AF69" s="31">
        <v>0</v>
      </c>
      <c r="AG69" s="31">
        <v>0</v>
      </c>
      <c r="AH69" s="31">
        <v>0</v>
      </c>
      <c r="AI69" s="31">
        <v>0</v>
      </c>
      <c r="AJ69" s="31">
        <v>0</v>
      </c>
    </row>
    <row r="70" spans="1:36" ht="16" thickTop="1" thickBot="1">
      <c r="A70" s="5"/>
      <c r="B70" s="11"/>
      <c r="C70" s="21" t="s">
        <v>16</v>
      </c>
      <c r="D70" s="11" t="s">
        <v>18</v>
      </c>
      <c r="E70" s="20" t="str">
        <f t="shared" ref="E70:E78" si="5">C70&amp;D70</f>
        <v>DCSAlloys</v>
      </c>
      <c r="F70" s="32">
        <f>VLOOKUP($E70,'[1]5.3.2 Emissions and intensity'!$E$315:$AJ$346,F$2+1,)</f>
        <v>0.30560000000000004</v>
      </c>
      <c r="G70" s="33">
        <f>VLOOKUP($E70,'[1]5.3.2 Emissions and intensity'!$E$315:$AJ$346,G$2+1,)</f>
        <v>0.30437760000000003</v>
      </c>
      <c r="H70" s="33">
        <f>VLOOKUP($E70,'[1]5.3.2 Emissions and intensity'!$E$315:$AJ$346,H$2+1,)</f>
        <v>0.30316008960000002</v>
      </c>
      <c r="I70" s="33">
        <f>VLOOKUP($E70,'[1]5.3.2 Emissions and intensity'!$E$315:$AJ$346,I$2+1,)</f>
        <v>0.30194744924160005</v>
      </c>
      <c r="J70" s="33">
        <f>VLOOKUP($E70,'[1]5.3.2 Emissions and intensity'!$E$315:$AJ$346,J$2+1,)</f>
        <v>0.30073965944463366</v>
      </c>
      <c r="K70" s="33">
        <f>VLOOKUP($E70,'[1]5.3.2 Emissions and intensity'!$E$315:$AJ$346,K$2+1,)</f>
        <v>0.29953670080685507</v>
      </c>
      <c r="L70" s="34">
        <f>VLOOKUP($E70,'[1]5.3.2 Emissions and intensity'!$E$315:$AJ$346,L$2+1,)</f>
        <v>0.18336000000000002</v>
      </c>
      <c r="M70" s="33">
        <f>VLOOKUP($E70,'[1]5.3.2 Emissions and intensity'!$E$315:$AJ$346,M$2+1,)</f>
        <v>0.18336000000000002</v>
      </c>
      <c r="N70" s="33">
        <f>VLOOKUP($E70,'[1]5.3.2 Emissions and intensity'!$E$315:$AJ$346,N$2+1,)</f>
        <v>0.18336000000000002</v>
      </c>
      <c r="O70" s="33">
        <f>VLOOKUP($E70,'[1]5.3.2 Emissions and intensity'!$E$315:$AJ$346,O$2+1,)</f>
        <v>0.18336000000000002</v>
      </c>
      <c r="P70" s="35">
        <f>VLOOKUP($E70,'[1]5.3.2 Emissions and intensity'!$E$315:$AJ$346,P$2+1,)</f>
        <v>0.18336000000000002</v>
      </c>
      <c r="Q70" s="33">
        <f>VLOOKUP($E70,'[1]5.3.2 Emissions and intensity'!$E$315:$AJ$346,Q$2+1,)</f>
        <v>0.15280000000000002</v>
      </c>
      <c r="R70" s="33">
        <f>VLOOKUP($E70,'[1]5.3.2 Emissions and intensity'!$E$315:$AJ$346,R$2+1,)</f>
        <v>0.15280000000000002</v>
      </c>
      <c r="S70" s="33">
        <f>VLOOKUP($E70,'[1]5.3.2 Emissions and intensity'!$E$315:$AJ$346,S$2+1,)</f>
        <v>0.15280000000000002</v>
      </c>
      <c r="T70" s="35">
        <f>VLOOKUP($E70,'[1]5.3.2 Emissions and intensity'!$E$315:$AJ$346,T$2+1,)</f>
        <v>0.15280000000000002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0</v>
      </c>
      <c r="AC70" s="31">
        <v>0</v>
      </c>
      <c r="AD70" s="31">
        <v>0</v>
      </c>
      <c r="AE70" s="31">
        <v>0</v>
      </c>
      <c r="AF70" s="31">
        <v>0</v>
      </c>
      <c r="AG70" s="31">
        <v>0</v>
      </c>
      <c r="AH70" s="31">
        <v>0</v>
      </c>
      <c r="AI70" s="31">
        <v>0</v>
      </c>
      <c r="AJ70" s="31">
        <v>0</v>
      </c>
    </row>
    <row r="71" spans="1:36" ht="16" thickTop="1" thickBot="1">
      <c r="A71" s="5"/>
      <c r="B71" s="11"/>
      <c r="C71" s="21" t="s">
        <v>16</v>
      </c>
      <c r="D71" s="11" t="s">
        <v>19</v>
      </c>
      <c r="E71" s="20" t="str">
        <f t="shared" si="5"/>
        <v>DCSPig iron (BF)</v>
      </c>
      <c r="F71" s="32">
        <f>VLOOKUP($E71,'[1]5.3.2 Emissions and intensity'!$E$315:$AJ$346,F$2+1,)</f>
        <v>1.3686</v>
      </c>
      <c r="G71" s="33">
        <f>VLOOKUP($E71,'[1]5.3.2 Emissions and intensity'!$E$315:$AJ$346,G$2+1,)</f>
        <v>1.3658627999999999</v>
      </c>
      <c r="H71" s="33">
        <f>VLOOKUP($E71,'[1]5.3.2 Emissions and intensity'!$E$315:$AJ$346,H$2+1,)</f>
        <v>1.3631310744</v>
      </c>
      <c r="I71" s="33">
        <f>VLOOKUP($E71,'[1]5.3.2 Emissions and intensity'!$E$315:$AJ$346,I$2+1,)</f>
        <v>1.3604048122512</v>
      </c>
      <c r="J71" s="33">
        <f>VLOOKUP($E71,'[1]5.3.2 Emissions and intensity'!$E$315:$AJ$346,J$2+1,)</f>
        <v>1.3576840026266976</v>
      </c>
      <c r="K71" s="33">
        <f>VLOOKUP($E71,'[1]5.3.2 Emissions and intensity'!$E$315:$AJ$346,K$2+1,)</f>
        <v>1.3549686346214442</v>
      </c>
      <c r="L71" s="34">
        <f>VLOOKUP($E71,'[1]5.3.2 Emissions and intensity'!$E$315:$AJ$346,L$2+1,)</f>
        <v>0.82116</v>
      </c>
      <c r="M71" s="33">
        <f>VLOOKUP($E71,'[1]5.3.2 Emissions and intensity'!$E$315:$AJ$346,M$2+1,)</f>
        <v>0.82116</v>
      </c>
      <c r="N71" s="33">
        <f>VLOOKUP($E71,'[1]5.3.2 Emissions and intensity'!$E$315:$AJ$346,N$2+1,)</f>
        <v>0.82116</v>
      </c>
      <c r="O71" s="33">
        <f>VLOOKUP($E71,'[1]5.3.2 Emissions and intensity'!$E$315:$AJ$346,O$2+1,)</f>
        <v>0.82116</v>
      </c>
      <c r="P71" s="35">
        <f>VLOOKUP($E71,'[1]5.3.2 Emissions and intensity'!$E$315:$AJ$346,P$2+1,)</f>
        <v>0.82116</v>
      </c>
      <c r="Q71" s="33">
        <f>VLOOKUP($E71,'[1]5.3.2 Emissions and intensity'!$E$315:$AJ$346,Q$2+1,)</f>
        <v>0.68430000000000002</v>
      </c>
      <c r="R71" s="33">
        <f>VLOOKUP($E71,'[1]5.3.2 Emissions and intensity'!$E$315:$AJ$346,R$2+1,)</f>
        <v>0.68430000000000002</v>
      </c>
      <c r="S71" s="33">
        <f>VLOOKUP($E71,'[1]5.3.2 Emissions and intensity'!$E$315:$AJ$346,S$2+1,)</f>
        <v>0.68430000000000002</v>
      </c>
      <c r="T71" s="35">
        <f>VLOOKUP($E71,'[1]5.3.2 Emissions and intensity'!$E$315:$AJ$346,T$2+1,)</f>
        <v>0.68430000000000002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  <c r="AC71" s="31">
        <v>0</v>
      </c>
      <c r="AD71" s="31">
        <v>0</v>
      </c>
      <c r="AE71" s="31">
        <v>0</v>
      </c>
      <c r="AF71" s="31">
        <v>0</v>
      </c>
      <c r="AG71" s="31">
        <v>0</v>
      </c>
      <c r="AH71" s="31">
        <v>0</v>
      </c>
      <c r="AI71" s="31">
        <v>0</v>
      </c>
      <c r="AJ71" s="31">
        <v>0</v>
      </c>
    </row>
    <row r="72" spans="1:36" ht="16" thickTop="1" thickBot="1">
      <c r="A72" s="5"/>
      <c r="B72" s="11"/>
      <c r="C72" s="21" t="s">
        <v>16</v>
      </c>
      <c r="D72" s="11" t="s">
        <v>20</v>
      </c>
      <c r="E72" s="20" t="str">
        <f t="shared" si="5"/>
        <v>DCSPig iron (smelting reduction)</v>
      </c>
      <c r="F72" s="32">
        <f>VLOOKUP($E72,'[1]5.3.2 Emissions and intensity'!$E$315:$AJ$346,F$2+1,)</f>
        <v>0.30560000000000004</v>
      </c>
      <c r="G72" s="33">
        <f>VLOOKUP($E72,'[1]5.3.2 Emissions and intensity'!$E$315:$AJ$346,G$2+1,)</f>
        <v>0.30437760000000003</v>
      </c>
      <c r="H72" s="33">
        <f>VLOOKUP($E72,'[1]5.3.2 Emissions and intensity'!$E$315:$AJ$346,H$2+1,)</f>
        <v>0.30316008960000002</v>
      </c>
      <c r="I72" s="33">
        <f>VLOOKUP($E72,'[1]5.3.2 Emissions and intensity'!$E$315:$AJ$346,I$2+1,)</f>
        <v>0.30194744924160005</v>
      </c>
      <c r="J72" s="33">
        <f>VLOOKUP($E72,'[1]5.3.2 Emissions and intensity'!$E$315:$AJ$346,J$2+1,)</f>
        <v>0.30073965944463366</v>
      </c>
      <c r="K72" s="33">
        <f>VLOOKUP($E72,'[1]5.3.2 Emissions and intensity'!$E$315:$AJ$346,K$2+1,)</f>
        <v>0.29953670080685507</v>
      </c>
      <c r="L72" s="34">
        <f>VLOOKUP($E72,'[1]5.3.2 Emissions and intensity'!$E$315:$AJ$346,L$2+1,)</f>
        <v>0.18336000000000002</v>
      </c>
      <c r="M72" s="33">
        <f>VLOOKUP($E72,'[1]5.3.2 Emissions and intensity'!$E$315:$AJ$346,M$2+1,)</f>
        <v>0.18336000000000002</v>
      </c>
      <c r="N72" s="33">
        <f>VLOOKUP($E72,'[1]5.3.2 Emissions and intensity'!$E$315:$AJ$346,N$2+1,)</f>
        <v>0.18336000000000002</v>
      </c>
      <c r="O72" s="33">
        <f>VLOOKUP($E72,'[1]5.3.2 Emissions and intensity'!$E$315:$AJ$346,O$2+1,)</f>
        <v>0.18336000000000002</v>
      </c>
      <c r="P72" s="35">
        <f>VLOOKUP($E72,'[1]5.3.2 Emissions and intensity'!$E$315:$AJ$346,P$2+1,)</f>
        <v>0.18336000000000002</v>
      </c>
      <c r="Q72" s="33">
        <f>VLOOKUP($E72,'[1]5.3.2 Emissions and intensity'!$E$315:$AJ$346,Q$2+1,)</f>
        <v>0.15280000000000002</v>
      </c>
      <c r="R72" s="33">
        <f>VLOOKUP($E72,'[1]5.3.2 Emissions and intensity'!$E$315:$AJ$346,R$2+1,)</f>
        <v>0.15280000000000002</v>
      </c>
      <c r="S72" s="33">
        <f>VLOOKUP($E72,'[1]5.3.2 Emissions and intensity'!$E$315:$AJ$346,S$2+1,)</f>
        <v>0.15280000000000002</v>
      </c>
      <c r="T72" s="35">
        <f>VLOOKUP($E72,'[1]5.3.2 Emissions and intensity'!$E$315:$AJ$346,T$2+1,)</f>
        <v>0.15280000000000002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  <c r="AC72" s="31">
        <v>0</v>
      </c>
      <c r="AD72" s="31">
        <v>0</v>
      </c>
      <c r="AE72" s="31">
        <v>0</v>
      </c>
      <c r="AF72" s="31">
        <v>0</v>
      </c>
      <c r="AG72" s="31">
        <v>0</v>
      </c>
      <c r="AH72" s="31">
        <v>0</v>
      </c>
      <c r="AI72" s="31">
        <v>0</v>
      </c>
      <c r="AJ72" s="31">
        <v>0</v>
      </c>
    </row>
    <row r="73" spans="1:36" ht="15" customHeight="1" thickTop="1" thickBot="1">
      <c r="A73" s="40"/>
      <c r="B73" s="11"/>
      <c r="C73" s="21" t="s">
        <v>16</v>
      </c>
      <c r="D73" s="11" t="s">
        <v>21</v>
      </c>
      <c r="E73" s="20" t="str">
        <f t="shared" si="5"/>
        <v>DCSDRI</v>
      </c>
      <c r="F73" s="32">
        <f>VLOOKUP($E73,'[1]5.3.2 Emissions and intensity'!$E$315:$AJ$346,F$2+1,)</f>
        <v>0.30560000000000004</v>
      </c>
      <c r="G73" s="33">
        <f>VLOOKUP($E73,'[1]5.3.2 Emissions and intensity'!$E$315:$AJ$346,G$2+1,)</f>
        <v>0.30437760000000003</v>
      </c>
      <c r="H73" s="33">
        <f>VLOOKUP($E73,'[1]5.3.2 Emissions and intensity'!$E$315:$AJ$346,H$2+1,)</f>
        <v>0.30316008960000002</v>
      </c>
      <c r="I73" s="33">
        <f>VLOOKUP($E73,'[1]5.3.2 Emissions and intensity'!$E$315:$AJ$346,I$2+1,)</f>
        <v>0.30194744924160005</v>
      </c>
      <c r="J73" s="33">
        <f>VLOOKUP($E73,'[1]5.3.2 Emissions and intensity'!$E$315:$AJ$346,J$2+1,)</f>
        <v>0.30073965944463366</v>
      </c>
      <c r="K73" s="33">
        <f>VLOOKUP($E73,'[1]5.3.2 Emissions and intensity'!$E$315:$AJ$346,K$2+1,)</f>
        <v>0.29953670080685507</v>
      </c>
      <c r="L73" s="34">
        <f>VLOOKUP($E73,'[1]5.3.2 Emissions and intensity'!$E$315:$AJ$346,L$2+1,)</f>
        <v>0.18336000000000002</v>
      </c>
      <c r="M73" s="33">
        <f>VLOOKUP($E73,'[1]5.3.2 Emissions and intensity'!$E$315:$AJ$346,M$2+1,)</f>
        <v>0.18336000000000002</v>
      </c>
      <c r="N73" s="33">
        <f>VLOOKUP($E73,'[1]5.3.2 Emissions and intensity'!$E$315:$AJ$346,N$2+1,)</f>
        <v>0.18336000000000002</v>
      </c>
      <c r="O73" s="33">
        <f>VLOOKUP($E73,'[1]5.3.2 Emissions and intensity'!$E$315:$AJ$346,O$2+1,)</f>
        <v>0.18336000000000002</v>
      </c>
      <c r="P73" s="35">
        <f>VLOOKUP($E73,'[1]5.3.2 Emissions and intensity'!$E$315:$AJ$346,P$2+1,)</f>
        <v>0.18336000000000002</v>
      </c>
      <c r="Q73" s="33">
        <f>VLOOKUP($E73,'[1]5.3.2 Emissions and intensity'!$E$315:$AJ$346,Q$2+1,)</f>
        <v>0.15280000000000002</v>
      </c>
      <c r="R73" s="33">
        <f>VLOOKUP($E73,'[1]5.3.2 Emissions and intensity'!$E$315:$AJ$346,R$2+1,)</f>
        <v>0.15280000000000002</v>
      </c>
      <c r="S73" s="33">
        <f>VLOOKUP($E73,'[1]5.3.2 Emissions and intensity'!$E$315:$AJ$346,S$2+1,)</f>
        <v>0.15280000000000002</v>
      </c>
      <c r="T73" s="35">
        <f>VLOOKUP($E73,'[1]5.3.2 Emissions and intensity'!$E$315:$AJ$346,T$2+1,)</f>
        <v>0.15280000000000002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>
        <v>0</v>
      </c>
      <c r="AG73" s="31">
        <v>0</v>
      </c>
      <c r="AH73" s="31">
        <v>0</v>
      </c>
      <c r="AI73" s="31">
        <v>0</v>
      </c>
      <c r="AJ73" s="31">
        <v>0</v>
      </c>
    </row>
    <row r="74" spans="1:36" ht="16" thickTop="1" thickBot="1">
      <c r="A74" s="40"/>
      <c r="B74" s="11"/>
      <c r="C74" s="21" t="s">
        <v>16</v>
      </c>
      <c r="D74" s="11" t="s">
        <v>22</v>
      </c>
      <c r="E74" s="20" t="str">
        <f t="shared" si="5"/>
        <v>DCSCrude steel (BOF route)</v>
      </c>
      <c r="F74" s="32">
        <f>VLOOKUP($E74,'[1]5.3.2 Emissions and intensity'!$E$315:$AJ$346,F$2+1,)</f>
        <v>1.6742000000000001</v>
      </c>
      <c r="G74" s="33">
        <f>VLOOKUP($E74,'[1]5.3.2 Emissions and intensity'!$E$315:$AJ$346,G$2+1,)</f>
        <v>1.6702404</v>
      </c>
      <c r="H74" s="33">
        <f>VLOOKUP($E74,'[1]5.3.2 Emissions and intensity'!$E$315:$AJ$346,H$2+1,)</f>
        <v>1.666291164</v>
      </c>
      <c r="I74" s="33">
        <f>VLOOKUP($E74,'[1]5.3.2 Emissions and intensity'!$E$315:$AJ$346,I$2+1,)</f>
        <v>1.6623522614928001</v>
      </c>
      <c r="J74" s="33">
        <f>VLOOKUP($E74,'[1]5.3.2 Emissions and intensity'!$E$315:$AJ$346,J$2+1,)</f>
        <v>1.6584236620713313</v>
      </c>
      <c r="K74" s="33">
        <f>VLOOKUP($E74,'[1]5.3.2 Emissions and intensity'!$E$315:$AJ$346,K$2+1,)</f>
        <v>1.6545053354282993</v>
      </c>
      <c r="L74" s="34">
        <f>VLOOKUP($E74,'[1]5.3.2 Emissions and intensity'!$E$315:$AJ$346,L$2+1,)</f>
        <v>1.0045200000000001</v>
      </c>
      <c r="M74" s="33">
        <f>VLOOKUP($E74,'[1]5.3.2 Emissions and intensity'!$E$315:$AJ$346,M$2+1,)</f>
        <v>1.0045200000000001</v>
      </c>
      <c r="N74" s="33">
        <f>VLOOKUP($E74,'[1]5.3.2 Emissions and intensity'!$E$315:$AJ$346,N$2+1,)</f>
        <v>1.0045200000000001</v>
      </c>
      <c r="O74" s="33">
        <f>VLOOKUP($E74,'[1]5.3.2 Emissions and intensity'!$E$315:$AJ$346,O$2+1,)</f>
        <v>1.0045200000000001</v>
      </c>
      <c r="P74" s="35">
        <f>VLOOKUP($E74,'[1]5.3.2 Emissions and intensity'!$E$315:$AJ$346,P$2+1,)</f>
        <v>1.0045200000000001</v>
      </c>
      <c r="Q74" s="33">
        <f>VLOOKUP($E74,'[1]5.3.2 Emissions and intensity'!$E$315:$AJ$346,Q$2+1,)</f>
        <v>0.83710000000000007</v>
      </c>
      <c r="R74" s="33">
        <f>VLOOKUP($E74,'[1]5.3.2 Emissions and intensity'!$E$315:$AJ$346,R$2+1,)</f>
        <v>0.83710000000000007</v>
      </c>
      <c r="S74" s="33">
        <f>VLOOKUP($E74,'[1]5.3.2 Emissions and intensity'!$E$315:$AJ$346,S$2+1,)</f>
        <v>0.83710000000000007</v>
      </c>
      <c r="T74" s="35">
        <f>VLOOKUP($E74,'[1]5.3.2 Emissions and intensity'!$E$315:$AJ$346,T$2+1,)</f>
        <v>0.83710000000000007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  <c r="AC74" s="31">
        <v>0</v>
      </c>
      <c r="AD74" s="31">
        <v>0</v>
      </c>
      <c r="AE74" s="31">
        <v>0</v>
      </c>
      <c r="AF74" s="31">
        <v>0</v>
      </c>
      <c r="AG74" s="31">
        <v>0</v>
      </c>
      <c r="AH74" s="31">
        <v>0</v>
      </c>
      <c r="AI74" s="31">
        <v>0</v>
      </c>
      <c r="AJ74" s="31">
        <v>0</v>
      </c>
    </row>
    <row r="75" spans="1:36" ht="16" thickTop="1" thickBot="1">
      <c r="A75" s="40"/>
      <c r="B75" s="11"/>
      <c r="C75" s="21" t="s">
        <v>16</v>
      </c>
      <c r="D75" s="11" t="s">
        <v>23</v>
      </c>
      <c r="E75" s="20" t="str">
        <f t="shared" si="5"/>
        <v>DCSCrude steel (EAF route)</v>
      </c>
      <c r="F75" s="32">
        <f>VLOOKUP($E75,'[1]5.3.2 Emissions and intensity'!$E$315:$AJ$346,F$2+1,)</f>
        <v>0.37140000000000001</v>
      </c>
      <c r="G75" s="33">
        <f>VLOOKUP($E75,'[1]5.3.2 Emissions and intensity'!$E$315:$AJ$346,G$2+1,)</f>
        <v>0.37065720000000002</v>
      </c>
      <c r="H75" s="33">
        <f>VLOOKUP($E75,'[1]5.3.2 Emissions and intensity'!$E$315:$AJ$346,H$2+1,)</f>
        <v>0.36991588559999999</v>
      </c>
      <c r="I75" s="33">
        <f>VLOOKUP($E75,'[1]5.3.2 Emissions and intensity'!$E$315:$AJ$346,I$2+1,)</f>
        <v>0.36917605382879998</v>
      </c>
      <c r="J75" s="33">
        <f>VLOOKUP($E75,'[1]5.3.2 Emissions and intensity'!$E$315:$AJ$346,J$2+1,)</f>
        <v>0.36843770172114237</v>
      </c>
      <c r="K75" s="33">
        <f>VLOOKUP($E75,'[1]5.3.2 Emissions and intensity'!$E$315:$AJ$346,K$2+1,)</f>
        <v>0.36770082631770007</v>
      </c>
      <c r="L75" s="34">
        <f>VLOOKUP($E75,'[1]5.3.2 Emissions and intensity'!$E$315:$AJ$346,L$2+1,)</f>
        <v>0.22283999999999998</v>
      </c>
      <c r="M75" s="33">
        <f>VLOOKUP($E75,'[1]5.3.2 Emissions and intensity'!$E$315:$AJ$346,M$2+1,)</f>
        <v>0.22283999999999998</v>
      </c>
      <c r="N75" s="33">
        <f>VLOOKUP($E75,'[1]5.3.2 Emissions and intensity'!$E$315:$AJ$346,N$2+1,)</f>
        <v>0.22283999999999998</v>
      </c>
      <c r="O75" s="33">
        <f>VLOOKUP($E75,'[1]5.3.2 Emissions and intensity'!$E$315:$AJ$346,O$2+1,)</f>
        <v>0.22283999999999998</v>
      </c>
      <c r="P75" s="35">
        <f>VLOOKUP($E75,'[1]5.3.2 Emissions and intensity'!$E$315:$AJ$346,P$2+1,)</f>
        <v>0.22283999999999998</v>
      </c>
      <c r="Q75" s="33">
        <f>VLOOKUP($E75,'[1]5.3.2 Emissions and intensity'!$E$315:$AJ$346,Q$2+1,)</f>
        <v>0.18569999999999998</v>
      </c>
      <c r="R75" s="33">
        <f>VLOOKUP($E75,'[1]5.3.2 Emissions and intensity'!$E$315:$AJ$346,R$2+1,)</f>
        <v>0.18569999999999998</v>
      </c>
      <c r="S75" s="33">
        <f>VLOOKUP($E75,'[1]5.3.2 Emissions and intensity'!$E$315:$AJ$346,S$2+1,)</f>
        <v>0.18569999999999998</v>
      </c>
      <c r="T75" s="35">
        <f>VLOOKUP($E75,'[1]5.3.2 Emissions and intensity'!$E$315:$AJ$346,T$2+1,)</f>
        <v>0.18569999999999998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  <c r="AC75" s="31">
        <v>0</v>
      </c>
      <c r="AD75" s="31">
        <v>0</v>
      </c>
      <c r="AE75" s="31">
        <v>0</v>
      </c>
      <c r="AF75" s="31">
        <v>0</v>
      </c>
      <c r="AG75" s="31">
        <v>0</v>
      </c>
      <c r="AH75" s="31">
        <v>0</v>
      </c>
      <c r="AI75" s="31">
        <v>0</v>
      </c>
      <c r="AJ75" s="31">
        <v>0</v>
      </c>
    </row>
    <row r="76" spans="1:36" ht="16" thickTop="1" thickBot="1">
      <c r="A76" s="40"/>
      <c r="B76" s="11"/>
      <c r="C76" s="21" t="s">
        <v>16</v>
      </c>
      <c r="D76" s="11" t="s">
        <v>24</v>
      </c>
      <c r="E76" s="20" t="str">
        <f t="shared" si="5"/>
        <v>DCSSteel (BF-BOF route)</v>
      </c>
      <c r="F76" s="32">
        <f>VLOOKUP($E76,'[1]5.3.2 Emissions and intensity'!$E$315:$AJ$346,F$2+1,)</f>
        <v>1.8633846000000001</v>
      </c>
      <c r="G76" s="33">
        <f>VLOOKUP($E76,'[1]5.3.2 Emissions and intensity'!$E$315:$AJ$346,G$2+1,)</f>
        <v>1.8589775652</v>
      </c>
      <c r="H76" s="33">
        <f>VLOOKUP($E76,'[1]5.3.2 Emissions and intensity'!$E$315:$AJ$346,H$2+1,)</f>
        <v>1.854582065532</v>
      </c>
      <c r="I76" s="33">
        <f>VLOOKUP($E76,'[1]5.3.2 Emissions and intensity'!$E$315:$AJ$346,I$2+1,)</f>
        <v>1.8501980670414866</v>
      </c>
      <c r="J76" s="33">
        <f>VLOOKUP($E76,'[1]5.3.2 Emissions and intensity'!$E$315:$AJ$346,J$2+1,)</f>
        <v>1.8458255358853917</v>
      </c>
      <c r="K76" s="33">
        <f>VLOOKUP($E76,'[1]5.3.2 Emissions and intensity'!$E$315:$AJ$346,K$2+1,)</f>
        <v>1.8414644383316972</v>
      </c>
      <c r="L76" s="34">
        <f>VLOOKUP($E76,'[1]5.3.2 Emissions and intensity'!$E$315:$AJ$346,L$2+1,)</f>
        <v>1.1180307600000001</v>
      </c>
      <c r="M76" s="33">
        <f>VLOOKUP($E76,'[1]5.3.2 Emissions and intensity'!$E$315:$AJ$346,M$2+1,)</f>
        <v>1.1180307600000001</v>
      </c>
      <c r="N76" s="33">
        <f>VLOOKUP($E76,'[1]5.3.2 Emissions and intensity'!$E$315:$AJ$346,N$2+1,)</f>
        <v>1.1180307600000001</v>
      </c>
      <c r="O76" s="33">
        <f>VLOOKUP($E76,'[1]5.3.2 Emissions and intensity'!$E$315:$AJ$346,O$2+1,)</f>
        <v>1.1180307600000001</v>
      </c>
      <c r="P76" s="35">
        <f>VLOOKUP($E76,'[1]5.3.2 Emissions and intensity'!$E$315:$AJ$346,P$2+1,)</f>
        <v>1.1180307600000001</v>
      </c>
      <c r="Q76" s="33">
        <f>VLOOKUP($E76,'[1]5.3.2 Emissions and intensity'!$E$315:$AJ$346,Q$2+1,)</f>
        <v>0.93169230000000003</v>
      </c>
      <c r="R76" s="33">
        <f>VLOOKUP($E76,'[1]5.3.2 Emissions and intensity'!$E$315:$AJ$346,R$2+1,)</f>
        <v>0.93169230000000003</v>
      </c>
      <c r="S76" s="33">
        <f>VLOOKUP($E76,'[1]5.3.2 Emissions and intensity'!$E$315:$AJ$346,S$2+1,)</f>
        <v>0.93169230000000003</v>
      </c>
      <c r="T76" s="35">
        <f>VLOOKUP($E76,'[1]5.3.2 Emissions and intensity'!$E$315:$AJ$346,T$2+1,)</f>
        <v>0.93169230000000003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0</v>
      </c>
      <c r="AC76" s="31">
        <v>0</v>
      </c>
      <c r="AD76" s="31">
        <v>0</v>
      </c>
      <c r="AE76" s="31">
        <v>0</v>
      </c>
      <c r="AF76" s="31">
        <v>0</v>
      </c>
      <c r="AG76" s="31">
        <v>0</v>
      </c>
      <c r="AH76" s="31">
        <v>0</v>
      </c>
      <c r="AI76" s="31">
        <v>0</v>
      </c>
      <c r="AJ76" s="31">
        <v>0</v>
      </c>
    </row>
    <row r="77" spans="1:36" ht="16" thickTop="1" thickBot="1">
      <c r="A77" s="40"/>
      <c r="B77" s="11"/>
      <c r="C77" s="21" t="s">
        <v>16</v>
      </c>
      <c r="D77" s="11" t="s">
        <v>25</v>
      </c>
      <c r="E77" s="20" t="str">
        <f t="shared" si="5"/>
        <v>DCSSteel (DRI-EAF route)</v>
      </c>
      <c r="F77" s="32">
        <f>VLOOKUP($E77,'[1]5.3.2 Emissions and intensity'!$E$315:$AJ$346,F$2+1,)</f>
        <v>0.67700000000000005</v>
      </c>
      <c r="G77" s="33">
        <f>VLOOKUP($E77,'[1]5.3.2 Emissions and intensity'!$E$315:$AJ$346,G$2+1,)</f>
        <v>0.62284000000000006</v>
      </c>
      <c r="H77" s="33">
        <f>VLOOKUP($E77,'[1]5.3.2 Emissions and intensity'!$E$315:$AJ$346,H$2+1,)</f>
        <v>0.62284000000000006</v>
      </c>
      <c r="I77" s="33">
        <f>VLOOKUP($E77,'[1]5.3.2 Emissions and intensity'!$E$315:$AJ$346,I$2+1,)</f>
        <v>0.62284000000000006</v>
      </c>
      <c r="J77" s="33">
        <f>VLOOKUP($E77,'[1]5.3.2 Emissions and intensity'!$E$315:$AJ$346,J$2+1,)</f>
        <v>0.62284000000000006</v>
      </c>
      <c r="K77" s="33">
        <f>VLOOKUP($E77,'[1]5.3.2 Emissions and intensity'!$E$315:$AJ$346,K$2+1,)</f>
        <v>0.62284000000000006</v>
      </c>
      <c r="L77" s="34">
        <f>VLOOKUP($E77,'[1]5.3.2 Emissions and intensity'!$E$315:$AJ$346,L$2+1,)</f>
        <v>0.56868000000000007</v>
      </c>
      <c r="M77" s="33">
        <f>VLOOKUP($E77,'[1]5.3.2 Emissions and intensity'!$E$315:$AJ$346,M$2+1,)</f>
        <v>0.56868000000000007</v>
      </c>
      <c r="N77" s="33">
        <f>VLOOKUP($E77,'[1]5.3.2 Emissions and intensity'!$E$315:$AJ$346,N$2+1,)</f>
        <v>0.56868000000000007</v>
      </c>
      <c r="O77" s="33">
        <f>VLOOKUP($E77,'[1]5.3.2 Emissions and intensity'!$E$315:$AJ$346,O$2+1,)</f>
        <v>0.56868000000000007</v>
      </c>
      <c r="P77" s="35">
        <f>VLOOKUP($E77,'[1]5.3.2 Emissions and intensity'!$E$315:$AJ$346,P$2+1,)</f>
        <v>0.56868000000000007</v>
      </c>
      <c r="Q77" s="33">
        <f>VLOOKUP($E77,'[1]5.3.2 Emissions and intensity'!$E$315:$AJ$346,Q$2+1,)</f>
        <v>0.51452000000000009</v>
      </c>
      <c r="R77" s="33">
        <f>VLOOKUP($E77,'[1]5.3.2 Emissions and intensity'!$E$315:$AJ$346,R$2+1,)</f>
        <v>0.51452000000000009</v>
      </c>
      <c r="S77" s="33">
        <f>VLOOKUP($E77,'[1]5.3.2 Emissions and intensity'!$E$315:$AJ$346,S$2+1,)</f>
        <v>0.51452000000000009</v>
      </c>
      <c r="T77" s="35">
        <f>VLOOKUP($E77,'[1]5.3.2 Emissions and intensity'!$E$315:$AJ$346,T$2+1,)</f>
        <v>0.51452000000000009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0</v>
      </c>
      <c r="AC77" s="31">
        <v>0</v>
      </c>
      <c r="AD77" s="31">
        <v>0</v>
      </c>
      <c r="AE77" s="31">
        <v>0</v>
      </c>
      <c r="AF77" s="31">
        <v>0</v>
      </c>
      <c r="AG77" s="31">
        <v>0</v>
      </c>
      <c r="AH77" s="31">
        <v>0</v>
      </c>
      <c r="AI77" s="31">
        <v>0</v>
      </c>
      <c r="AJ77" s="31">
        <v>0</v>
      </c>
    </row>
    <row r="78" spans="1:36" ht="16" thickTop="1" thickBot="1">
      <c r="A78" s="40"/>
      <c r="B78" s="11"/>
      <c r="C78" s="21" t="s">
        <v>16</v>
      </c>
      <c r="D78" s="11" t="s">
        <v>26</v>
      </c>
      <c r="E78" s="20" t="str">
        <f t="shared" si="5"/>
        <v>DCSSteel (Scrap-EAF route)</v>
      </c>
      <c r="F78" s="36">
        <f>VLOOKUP($E78,'[1]5.3.2 Emissions and intensity'!$E$315:$AJ$346,F$2+1,)</f>
        <v>0.37140000000000001</v>
      </c>
      <c r="G78" s="37">
        <f>VLOOKUP($E78,'[1]5.3.2 Emissions and intensity'!$E$315:$AJ$346,G$2+1,)</f>
        <v>0.37065720000000002</v>
      </c>
      <c r="H78" s="37">
        <f>VLOOKUP($E78,'[1]5.3.2 Emissions and intensity'!$E$315:$AJ$346,H$2+1,)</f>
        <v>0.36991588559999999</v>
      </c>
      <c r="I78" s="37">
        <f>VLOOKUP($E78,'[1]5.3.2 Emissions and intensity'!$E$315:$AJ$346,I$2+1,)</f>
        <v>0.36917605382879998</v>
      </c>
      <c r="J78" s="37">
        <f>VLOOKUP($E78,'[1]5.3.2 Emissions and intensity'!$E$315:$AJ$346,J$2+1,)</f>
        <v>0.36843770172114237</v>
      </c>
      <c r="K78" s="37">
        <f>VLOOKUP($E78,'[1]5.3.2 Emissions and intensity'!$E$315:$AJ$346,K$2+1,)</f>
        <v>0.36770082631770007</v>
      </c>
      <c r="L78" s="38">
        <f>VLOOKUP($E78,'[1]5.3.2 Emissions and intensity'!$E$315:$AJ$346,L$2+1,)</f>
        <v>0.22283999999999998</v>
      </c>
      <c r="M78" s="37">
        <f>VLOOKUP($E78,'[1]5.3.2 Emissions and intensity'!$E$315:$AJ$346,M$2+1,)</f>
        <v>0.22283999999999998</v>
      </c>
      <c r="N78" s="37">
        <f>VLOOKUP($E78,'[1]5.3.2 Emissions and intensity'!$E$315:$AJ$346,N$2+1,)</f>
        <v>0.22283999999999998</v>
      </c>
      <c r="O78" s="37">
        <f>VLOOKUP($E78,'[1]5.3.2 Emissions and intensity'!$E$315:$AJ$346,O$2+1,)</f>
        <v>0.22283999999999998</v>
      </c>
      <c r="P78" s="39">
        <f>VLOOKUP($E78,'[1]5.3.2 Emissions and intensity'!$E$315:$AJ$346,P$2+1,)</f>
        <v>0.22283999999999998</v>
      </c>
      <c r="Q78" s="37">
        <f>VLOOKUP($E78,'[1]5.3.2 Emissions and intensity'!$E$315:$AJ$346,Q$2+1,)</f>
        <v>0.18569999999999998</v>
      </c>
      <c r="R78" s="37">
        <f>VLOOKUP($E78,'[1]5.3.2 Emissions and intensity'!$E$315:$AJ$346,R$2+1,)</f>
        <v>0.18569999999999998</v>
      </c>
      <c r="S78" s="37">
        <f>VLOOKUP($E78,'[1]5.3.2 Emissions and intensity'!$E$315:$AJ$346,S$2+1,)</f>
        <v>0.18569999999999998</v>
      </c>
      <c r="T78" s="39">
        <f>VLOOKUP($E78,'[1]5.3.2 Emissions and intensity'!$E$315:$AJ$346,T$2+1,)</f>
        <v>0.18569999999999998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0</v>
      </c>
      <c r="AC78" s="31">
        <v>0</v>
      </c>
      <c r="AD78" s="31">
        <v>0</v>
      </c>
      <c r="AE78" s="31">
        <v>0</v>
      </c>
      <c r="AF78" s="31">
        <v>0</v>
      </c>
      <c r="AG78" s="31">
        <v>0</v>
      </c>
      <c r="AH78" s="31">
        <v>0</v>
      </c>
      <c r="AI78" s="31">
        <v>0</v>
      </c>
      <c r="AJ78" s="31">
        <v>0</v>
      </c>
    </row>
    <row r="79" spans="1:36" ht="15" thickBot="1">
      <c r="A79" s="40"/>
      <c r="B79" s="1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</row>
    <row r="80" spans="1:36" ht="16" thickTop="1" thickBot="1">
      <c r="A80" s="40"/>
      <c r="B80" s="11"/>
      <c r="C80" s="21" t="s">
        <v>27</v>
      </c>
      <c r="D80" s="11" t="s">
        <v>17</v>
      </c>
      <c r="E80" s="20" t="str">
        <f>C80&amp;D80</f>
        <v>NESSintered ore</v>
      </c>
      <c r="F80" s="27">
        <f>VLOOKUP($E80,'[1]5.3.2 Emissions and intensity'!$E$315:$AJ$346,F$2+1,)</f>
        <v>0.191</v>
      </c>
      <c r="G80" s="28">
        <f>VLOOKUP($E80,'[1]5.3.2 Emissions and intensity'!$E$315:$AJ$346,G$2+1,)</f>
        <v>0.189472</v>
      </c>
      <c r="H80" s="28">
        <f>VLOOKUP($E80,'[1]5.3.2 Emissions and intensity'!$E$315:$AJ$346,H$2+1,)</f>
        <v>0.18795622400000001</v>
      </c>
      <c r="I80" s="28">
        <f>VLOOKUP($E80,'[1]5.3.2 Emissions and intensity'!$E$315:$AJ$346,I$2+1,)</f>
        <v>0.18645257420800002</v>
      </c>
      <c r="J80" s="28">
        <f>VLOOKUP($E80,'[1]5.3.2 Emissions and intensity'!$E$315:$AJ$346,J$2+1,)</f>
        <v>0.18496095361433601</v>
      </c>
      <c r="K80" s="28">
        <f>VLOOKUP($E80,'[1]5.3.2 Emissions and intensity'!$E$315:$AJ$346,K$2+1,)</f>
        <v>0.18348126598542133</v>
      </c>
      <c r="L80" s="29">
        <f>VLOOKUP($E80,'[1]5.3.2 Emissions and intensity'!$E$315:$AJ$346,L$2+1,)</f>
        <v>3.8200000000000012E-2</v>
      </c>
      <c r="M80" s="28">
        <f>VLOOKUP($E80,'[1]5.3.2 Emissions and intensity'!$E$315:$AJ$346,M$2+1,)</f>
        <v>3.8200000000000012E-2</v>
      </c>
      <c r="N80" s="28">
        <f>VLOOKUP($E80,'[1]5.3.2 Emissions and intensity'!$E$315:$AJ$346,N$2+1,)</f>
        <v>3.8200000000000012E-2</v>
      </c>
      <c r="O80" s="28">
        <f>VLOOKUP($E80,'[1]5.3.2 Emissions and intensity'!$E$315:$AJ$346,O$2+1,)</f>
        <v>3.8200000000000012E-2</v>
      </c>
      <c r="P80" s="30">
        <f>VLOOKUP($E80,'[1]5.3.2 Emissions and intensity'!$E$315:$AJ$346,P$2+1,)</f>
        <v>3.8200000000000012E-2</v>
      </c>
      <c r="Q80" s="28">
        <f>VLOOKUP($E80,'[1]5.3.2 Emissions and intensity'!$E$315:$AJ$346,Q$2+1,)</f>
        <v>0</v>
      </c>
      <c r="R80" s="28">
        <f>VLOOKUP($E80,'[1]5.3.2 Emissions and intensity'!$E$315:$AJ$346,R$2+1,)</f>
        <v>0</v>
      </c>
      <c r="S80" s="28">
        <f>VLOOKUP($E80,'[1]5.3.2 Emissions and intensity'!$E$315:$AJ$346,S$2+1,)</f>
        <v>0</v>
      </c>
      <c r="T80" s="30">
        <f>VLOOKUP($E80,'[1]5.3.2 Emissions and intensity'!$E$315:$AJ$346,T$2+1,)</f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>
        <v>0</v>
      </c>
      <c r="AG80" s="31">
        <v>0</v>
      </c>
      <c r="AH80" s="31">
        <v>0</v>
      </c>
      <c r="AI80" s="31">
        <v>0</v>
      </c>
      <c r="AJ80" s="31">
        <v>0</v>
      </c>
    </row>
    <row r="81" spans="1:36" ht="16" thickTop="1" thickBot="1">
      <c r="A81" s="40"/>
      <c r="B81" s="11"/>
      <c r="C81" s="21" t="s">
        <v>27</v>
      </c>
      <c r="D81" s="11" t="s">
        <v>18</v>
      </c>
      <c r="E81" s="20" t="str">
        <f t="shared" ref="E81:E89" si="6">C81&amp;D81</f>
        <v>NESAlloys</v>
      </c>
      <c r="F81" s="32">
        <f>VLOOKUP($E81,'[1]5.3.2 Emissions and intensity'!$E$315:$AJ$346,F$2+1,)</f>
        <v>0.30560000000000004</v>
      </c>
      <c r="G81" s="33">
        <f>VLOOKUP($E81,'[1]5.3.2 Emissions and intensity'!$E$315:$AJ$346,G$2+1,)</f>
        <v>0.30315520000000001</v>
      </c>
      <c r="H81" s="33">
        <f>VLOOKUP($E81,'[1]5.3.2 Emissions and intensity'!$E$315:$AJ$346,H$2+1,)</f>
        <v>0.30072995840000005</v>
      </c>
      <c r="I81" s="33">
        <f>VLOOKUP($E81,'[1]5.3.2 Emissions and intensity'!$E$315:$AJ$346,I$2+1,)</f>
        <v>0.29832411873280001</v>
      </c>
      <c r="J81" s="33">
        <f>VLOOKUP($E81,'[1]5.3.2 Emissions and intensity'!$E$315:$AJ$346,J$2+1,)</f>
        <v>0.29593752578293764</v>
      </c>
      <c r="K81" s="33">
        <f>VLOOKUP($E81,'[1]5.3.2 Emissions and intensity'!$E$315:$AJ$346,K$2+1,)</f>
        <v>0.29357002557667417</v>
      </c>
      <c r="L81" s="34">
        <f>VLOOKUP($E81,'[1]5.3.2 Emissions and intensity'!$E$315:$AJ$346,L$2+1,)</f>
        <v>6.1120000000000022E-2</v>
      </c>
      <c r="M81" s="33">
        <f>VLOOKUP($E81,'[1]5.3.2 Emissions and intensity'!$E$315:$AJ$346,M$2+1,)</f>
        <v>6.1120000000000022E-2</v>
      </c>
      <c r="N81" s="33">
        <f>VLOOKUP($E81,'[1]5.3.2 Emissions and intensity'!$E$315:$AJ$346,N$2+1,)</f>
        <v>6.1120000000000022E-2</v>
      </c>
      <c r="O81" s="33">
        <f>VLOOKUP($E81,'[1]5.3.2 Emissions and intensity'!$E$315:$AJ$346,O$2+1,)</f>
        <v>6.1120000000000022E-2</v>
      </c>
      <c r="P81" s="35">
        <f>VLOOKUP($E81,'[1]5.3.2 Emissions and intensity'!$E$315:$AJ$346,P$2+1,)</f>
        <v>6.1120000000000022E-2</v>
      </c>
      <c r="Q81" s="33">
        <f>VLOOKUP($E81,'[1]5.3.2 Emissions and intensity'!$E$315:$AJ$346,Q$2+1,)</f>
        <v>0</v>
      </c>
      <c r="R81" s="33">
        <f>VLOOKUP($E81,'[1]5.3.2 Emissions and intensity'!$E$315:$AJ$346,R$2+1,)</f>
        <v>0</v>
      </c>
      <c r="S81" s="33">
        <f>VLOOKUP($E81,'[1]5.3.2 Emissions and intensity'!$E$315:$AJ$346,S$2+1,)</f>
        <v>0</v>
      </c>
      <c r="T81" s="35">
        <f>VLOOKUP($E81,'[1]5.3.2 Emissions and intensity'!$E$315:$AJ$346,T$2+1,)</f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0</v>
      </c>
      <c r="AC81" s="31">
        <v>0</v>
      </c>
      <c r="AD81" s="31">
        <v>0</v>
      </c>
      <c r="AE81" s="31">
        <v>0</v>
      </c>
      <c r="AF81" s="31">
        <v>0</v>
      </c>
      <c r="AG81" s="31">
        <v>0</v>
      </c>
      <c r="AH81" s="31">
        <v>0</v>
      </c>
      <c r="AI81" s="31">
        <v>0</v>
      </c>
      <c r="AJ81" s="31">
        <v>0</v>
      </c>
    </row>
    <row r="82" spans="1:36" ht="16" thickTop="1" thickBot="1">
      <c r="A82" s="40"/>
      <c r="B82" s="11"/>
      <c r="C82" s="21" t="s">
        <v>27</v>
      </c>
      <c r="D82" s="11" t="s">
        <v>19</v>
      </c>
      <c r="E82" s="20" t="str">
        <f t="shared" si="6"/>
        <v>NESPig iron (BF)</v>
      </c>
      <c r="F82" s="32">
        <f>VLOOKUP($E82,'[1]5.3.2 Emissions and intensity'!$E$315:$AJ$346,F$2+1,)</f>
        <v>1.3686</v>
      </c>
      <c r="G82" s="33">
        <f>VLOOKUP($E82,'[1]5.3.2 Emissions and intensity'!$E$315:$AJ$346,G$2+1,)</f>
        <v>1.3576512000000001</v>
      </c>
      <c r="H82" s="33">
        <f>VLOOKUP($E82,'[1]5.3.2 Emissions and intensity'!$E$315:$AJ$346,H$2+1,)</f>
        <v>1.3467899904</v>
      </c>
      <c r="I82" s="33">
        <f>VLOOKUP($E82,'[1]5.3.2 Emissions and intensity'!$E$315:$AJ$346,I$2+1,)</f>
        <v>1.3360156704768</v>
      </c>
      <c r="J82" s="33">
        <f>VLOOKUP($E82,'[1]5.3.2 Emissions and intensity'!$E$315:$AJ$346,J$2+1,)</f>
        <v>1.3253275451129856</v>
      </c>
      <c r="K82" s="33">
        <f>VLOOKUP($E82,'[1]5.3.2 Emissions and intensity'!$E$315:$AJ$346,K$2+1,)</f>
        <v>1.3147249247520816</v>
      </c>
      <c r="L82" s="34">
        <f>VLOOKUP($E82,'[1]5.3.2 Emissions and intensity'!$E$315:$AJ$346,L$2+1,)</f>
        <v>0.27371999999999996</v>
      </c>
      <c r="M82" s="33">
        <f>VLOOKUP($E82,'[1]5.3.2 Emissions and intensity'!$E$315:$AJ$346,M$2+1,)</f>
        <v>0.27371999999999996</v>
      </c>
      <c r="N82" s="33">
        <f>VLOOKUP($E82,'[1]5.3.2 Emissions and intensity'!$E$315:$AJ$346,N$2+1,)</f>
        <v>0.27371999999999996</v>
      </c>
      <c r="O82" s="33">
        <f>VLOOKUP($E82,'[1]5.3.2 Emissions and intensity'!$E$315:$AJ$346,O$2+1,)</f>
        <v>0.27371999999999996</v>
      </c>
      <c r="P82" s="35">
        <f>VLOOKUP($E82,'[1]5.3.2 Emissions and intensity'!$E$315:$AJ$346,P$2+1,)</f>
        <v>0.27371999999999996</v>
      </c>
      <c r="Q82" s="33">
        <f>VLOOKUP($E82,'[1]5.3.2 Emissions and intensity'!$E$315:$AJ$346,Q$2+1,)</f>
        <v>0</v>
      </c>
      <c r="R82" s="33">
        <f>VLOOKUP($E82,'[1]5.3.2 Emissions and intensity'!$E$315:$AJ$346,R$2+1,)</f>
        <v>0</v>
      </c>
      <c r="S82" s="33">
        <f>VLOOKUP($E82,'[1]5.3.2 Emissions and intensity'!$E$315:$AJ$346,S$2+1,)</f>
        <v>0</v>
      </c>
      <c r="T82" s="35">
        <f>VLOOKUP($E82,'[1]5.3.2 Emissions and intensity'!$E$315:$AJ$346,T$2+1,)</f>
        <v>0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0</v>
      </c>
      <c r="AC82" s="31">
        <v>0</v>
      </c>
      <c r="AD82" s="31">
        <v>0</v>
      </c>
      <c r="AE82" s="31">
        <v>0</v>
      </c>
      <c r="AF82" s="31">
        <v>0</v>
      </c>
      <c r="AG82" s="31">
        <v>0</v>
      </c>
      <c r="AH82" s="31">
        <v>0</v>
      </c>
      <c r="AI82" s="31">
        <v>0</v>
      </c>
      <c r="AJ82" s="31">
        <v>0</v>
      </c>
    </row>
    <row r="83" spans="1:36" ht="16" thickTop="1" thickBot="1">
      <c r="A83" s="40"/>
      <c r="B83" s="11"/>
      <c r="C83" s="21" t="s">
        <v>27</v>
      </c>
      <c r="D83" s="11" t="s">
        <v>20</v>
      </c>
      <c r="E83" s="20" t="str">
        <f t="shared" si="6"/>
        <v>NESPig iron (smelting reduction)</v>
      </c>
      <c r="F83" s="32">
        <f>VLOOKUP($E83,'[1]5.3.2 Emissions and intensity'!$E$315:$AJ$346,F$2+1,)</f>
        <v>0.30560000000000004</v>
      </c>
      <c r="G83" s="33">
        <f>VLOOKUP($E83,'[1]5.3.2 Emissions and intensity'!$E$315:$AJ$346,G$2+1,)</f>
        <v>0.30315520000000001</v>
      </c>
      <c r="H83" s="33">
        <f>VLOOKUP($E83,'[1]5.3.2 Emissions and intensity'!$E$315:$AJ$346,H$2+1,)</f>
        <v>0.30072995840000005</v>
      </c>
      <c r="I83" s="33">
        <f>VLOOKUP($E83,'[1]5.3.2 Emissions and intensity'!$E$315:$AJ$346,I$2+1,)</f>
        <v>0.29832411873280001</v>
      </c>
      <c r="J83" s="33">
        <f>VLOOKUP($E83,'[1]5.3.2 Emissions and intensity'!$E$315:$AJ$346,J$2+1,)</f>
        <v>0.29593752578293764</v>
      </c>
      <c r="K83" s="33">
        <f>VLOOKUP($E83,'[1]5.3.2 Emissions and intensity'!$E$315:$AJ$346,K$2+1,)</f>
        <v>0.29357002557667417</v>
      </c>
      <c r="L83" s="34">
        <f>VLOOKUP($E83,'[1]5.3.2 Emissions and intensity'!$E$315:$AJ$346,L$2+1,)</f>
        <v>6.1120000000000022E-2</v>
      </c>
      <c r="M83" s="33">
        <f>VLOOKUP($E83,'[1]5.3.2 Emissions and intensity'!$E$315:$AJ$346,M$2+1,)</f>
        <v>6.1120000000000022E-2</v>
      </c>
      <c r="N83" s="33">
        <f>VLOOKUP($E83,'[1]5.3.2 Emissions and intensity'!$E$315:$AJ$346,N$2+1,)</f>
        <v>6.1120000000000022E-2</v>
      </c>
      <c r="O83" s="33">
        <f>VLOOKUP($E83,'[1]5.3.2 Emissions and intensity'!$E$315:$AJ$346,O$2+1,)</f>
        <v>6.1120000000000022E-2</v>
      </c>
      <c r="P83" s="35">
        <f>VLOOKUP($E83,'[1]5.3.2 Emissions and intensity'!$E$315:$AJ$346,P$2+1,)</f>
        <v>6.1120000000000022E-2</v>
      </c>
      <c r="Q83" s="33">
        <f>VLOOKUP($E83,'[1]5.3.2 Emissions and intensity'!$E$315:$AJ$346,Q$2+1,)</f>
        <v>0</v>
      </c>
      <c r="R83" s="33">
        <f>VLOOKUP($E83,'[1]5.3.2 Emissions and intensity'!$E$315:$AJ$346,R$2+1,)</f>
        <v>0</v>
      </c>
      <c r="S83" s="33">
        <f>VLOOKUP($E83,'[1]5.3.2 Emissions and intensity'!$E$315:$AJ$346,S$2+1,)</f>
        <v>0</v>
      </c>
      <c r="T83" s="35">
        <f>VLOOKUP($E83,'[1]5.3.2 Emissions and intensity'!$E$315:$AJ$346,T$2+1,)</f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0</v>
      </c>
      <c r="AC83" s="31">
        <v>0</v>
      </c>
      <c r="AD83" s="31">
        <v>0</v>
      </c>
      <c r="AE83" s="31">
        <v>0</v>
      </c>
      <c r="AF83" s="31">
        <v>0</v>
      </c>
      <c r="AG83" s="31">
        <v>0</v>
      </c>
      <c r="AH83" s="31">
        <v>0</v>
      </c>
      <c r="AI83" s="31">
        <v>0</v>
      </c>
      <c r="AJ83" s="31">
        <v>0</v>
      </c>
    </row>
    <row r="84" spans="1:36" ht="16" thickTop="1" thickBot="1">
      <c r="A84" s="40"/>
      <c r="B84" s="11"/>
      <c r="C84" s="21" t="s">
        <v>27</v>
      </c>
      <c r="D84" s="11" t="s">
        <v>21</v>
      </c>
      <c r="E84" s="20" t="str">
        <f t="shared" si="6"/>
        <v>NESDRI</v>
      </c>
      <c r="F84" s="32">
        <f>VLOOKUP($E84,'[1]5.3.2 Emissions and intensity'!$E$315:$AJ$346,F$2+1,)</f>
        <v>0.30560000000000004</v>
      </c>
      <c r="G84" s="33">
        <f>VLOOKUP($E84,'[1]5.3.2 Emissions and intensity'!$E$315:$AJ$346,G$2+1,)</f>
        <v>0.30315520000000001</v>
      </c>
      <c r="H84" s="33">
        <f>VLOOKUP($E84,'[1]5.3.2 Emissions and intensity'!$E$315:$AJ$346,H$2+1,)</f>
        <v>0.30072995840000005</v>
      </c>
      <c r="I84" s="33">
        <f>VLOOKUP($E84,'[1]5.3.2 Emissions and intensity'!$E$315:$AJ$346,I$2+1,)</f>
        <v>0.29832411873280001</v>
      </c>
      <c r="J84" s="33">
        <f>VLOOKUP($E84,'[1]5.3.2 Emissions and intensity'!$E$315:$AJ$346,J$2+1,)</f>
        <v>0.29593752578293764</v>
      </c>
      <c r="K84" s="33">
        <f>VLOOKUP($E84,'[1]5.3.2 Emissions and intensity'!$E$315:$AJ$346,K$2+1,)</f>
        <v>0.29357002557667417</v>
      </c>
      <c r="L84" s="34">
        <f>VLOOKUP($E84,'[1]5.3.2 Emissions and intensity'!$E$315:$AJ$346,L$2+1,)</f>
        <v>6.1120000000000022E-2</v>
      </c>
      <c r="M84" s="33">
        <f>VLOOKUP($E84,'[1]5.3.2 Emissions and intensity'!$E$315:$AJ$346,M$2+1,)</f>
        <v>6.1120000000000022E-2</v>
      </c>
      <c r="N84" s="33">
        <f>VLOOKUP($E84,'[1]5.3.2 Emissions and intensity'!$E$315:$AJ$346,N$2+1,)</f>
        <v>6.1120000000000022E-2</v>
      </c>
      <c r="O84" s="33">
        <f>VLOOKUP($E84,'[1]5.3.2 Emissions and intensity'!$E$315:$AJ$346,O$2+1,)</f>
        <v>6.1120000000000022E-2</v>
      </c>
      <c r="P84" s="35">
        <f>VLOOKUP($E84,'[1]5.3.2 Emissions and intensity'!$E$315:$AJ$346,P$2+1,)</f>
        <v>6.1120000000000022E-2</v>
      </c>
      <c r="Q84" s="33">
        <f>VLOOKUP($E84,'[1]5.3.2 Emissions and intensity'!$E$315:$AJ$346,Q$2+1,)</f>
        <v>0</v>
      </c>
      <c r="R84" s="33">
        <f>VLOOKUP($E84,'[1]5.3.2 Emissions and intensity'!$E$315:$AJ$346,R$2+1,)</f>
        <v>0</v>
      </c>
      <c r="S84" s="33">
        <f>VLOOKUP($E84,'[1]5.3.2 Emissions and intensity'!$E$315:$AJ$346,S$2+1,)</f>
        <v>0</v>
      </c>
      <c r="T84" s="35">
        <f>VLOOKUP($E84,'[1]5.3.2 Emissions and intensity'!$E$315:$AJ$346,T$2+1,)</f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  <c r="AC84" s="31">
        <v>0</v>
      </c>
      <c r="AD84" s="31">
        <v>0</v>
      </c>
      <c r="AE84" s="31">
        <v>0</v>
      </c>
      <c r="AF84" s="31">
        <v>0</v>
      </c>
      <c r="AG84" s="31">
        <v>0</v>
      </c>
      <c r="AH84" s="31">
        <v>0</v>
      </c>
      <c r="AI84" s="31">
        <v>0</v>
      </c>
      <c r="AJ84" s="31">
        <v>0</v>
      </c>
    </row>
    <row r="85" spans="1:36" ht="16" thickTop="1" thickBot="1">
      <c r="A85" s="40"/>
      <c r="B85" s="11"/>
      <c r="C85" s="21" t="s">
        <v>27</v>
      </c>
      <c r="D85" s="11" t="s">
        <v>22</v>
      </c>
      <c r="E85" s="20" t="str">
        <f t="shared" si="6"/>
        <v>NESCrude steel (BOF route)</v>
      </c>
      <c r="F85" s="32">
        <f>VLOOKUP($E85,'[1]5.3.2 Emissions and intensity'!$E$315:$AJ$346,F$2+1,)</f>
        <v>1.6742000000000001</v>
      </c>
      <c r="G85" s="33">
        <f>VLOOKUP($E85,'[1]5.3.2 Emissions and intensity'!$E$315:$AJ$346,G$2+1,)</f>
        <v>1.6608064</v>
      </c>
      <c r="H85" s="33">
        <f>VLOOKUP($E85,'[1]5.3.2 Emissions and intensity'!$E$315:$AJ$346,H$2+1,)</f>
        <v>1.6475199488000001</v>
      </c>
      <c r="I85" s="33">
        <f>VLOOKUP($E85,'[1]5.3.2 Emissions and intensity'!$E$315:$AJ$346,I$2+1,)</f>
        <v>1.6343397892096001</v>
      </c>
      <c r="J85" s="33">
        <f>VLOOKUP($E85,'[1]5.3.2 Emissions and intensity'!$E$315:$AJ$346,J$2+1,)</f>
        <v>1.6212650708959231</v>
      </c>
      <c r="K85" s="33">
        <f>VLOOKUP($E85,'[1]5.3.2 Emissions and intensity'!$E$315:$AJ$346,K$2+1,)</f>
        <v>1.6082949503287558</v>
      </c>
      <c r="L85" s="34">
        <f>VLOOKUP($E85,'[1]5.3.2 Emissions and intensity'!$E$315:$AJ$346,L$2+1,)</f>
        <v>0.33483999999999997</v>
      </c>
      <c r="M85" s="33">
        <f>VLOOKUP($E85,'[1]5.3.2 Emissions and intensity'!$E$315:$AJ$346,M$2+1,)</f>
        <v>0.33483999999999997</v>
      </c>
      <c r="N85" s="33">
        <f>VLOOKUP($E85,'[1]5.3.2 Emissions and intensity'!$E$315:$AJ$346,N$2+1,)</f>
        <v>0.33483999999999997</v>
      </c>
      <c r="O85" s="33">
        <f>VLOOKUP($E85,'[1]5.3.2 Emissions and intensity'!$E$315:$AJ$346,O$2+1,)</f>
        <v>0.33483999999999997</v>
      </c>
      <c r="P85" s="35">
        <f>VLOOKUP($E85,'[1]5.3.2 Emissions and intensity'!$E$315:$AJ$346,P$2+1,)</f>
        <v>0.33483999999999997</v>
      </c>
      <c r="Q85" s="33">
        <f>VLOOKUP($E85,'[1]5.3.2 Emissions and intensity'!$E$315:$AJ$346,Q$2+1,)</f>
        <v>0</v>
      </c>
      <c r="R85" s="33">
        <f>VLOOKUP($E85,'[1]5.3.2 Emissions and intensity'!$E$315:$AJ$346,R$2+1,)</f>
        <v>0</v>
      </c>
      <c r="S85" s="33">
        <f>VLOOKUP($E85,'[1]5.3.2 Emissions and intensity'!$E$315:$AJ$346,S$2+1,)</f>
        <v>0</v>
      </c>
      <c r="T85" s="35">
        <f>VLOOKUP($E85,'[1]5.3.2 Emissions and intensity'!$E$315:$AJ$346,T$2+1,)</f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  <c r="AC85" s="31">
        <v>0</v>
      </c>
      <c r="AD85" s="31">
        <v>0</v>
      </c>
      <c r="AE85" s="31">
        <v>0</v>
      </c>
      <c r="AF85" s="31">
        <v>0</v>
      </c>
      <c r="AG85" s="31">
        <v>0</v>
      </c>
      <c r="AH85" s="31">
        <v>0</v>
      </c>
      <c r="AI85" s="31">
        <v>0</v>
      </c>
      <c r="AJ85" s="31">
        <v>0</v>
      </c>
    </row>
    <row r="86" spans="1:36" ht="16" thickTop="1" thickBot="1">
      <c r="A86" s="40"/>
      <c r="B86" s="11"/>
      <c r="C86" s="21" t="s">
        <v>27</v>
      </c>
      <c r="D86" s="11" t="s">
        <v>23</v>
      </c>
      <c r="E86" s="20" t="str">
        <f t="shared" si="6"/>
        <v>NESCrude steel (EAF route)</v>
      </c>
      <c r="F86" s="32">
        <f>VLOOKUP($E86,'[1]5.3.2 Emissions and intensity'!$E$315:$AJ$346,F$2+1,)</f>
        <v>0.37140000000000001</v>
      </c>
      <c r="G86" s="33">
        <f>VLOOKUP($E86,'[1]5.3.2 Emissions and intensity'!$E$315:$AJ$346,G$2+1,)</f>
        <v>0.7368576</v>
      </c>
      <c r="H86" s="33">
        <f>VLOOKUP($E86,'[1]5.3.2 Emissions and intensity'!$E$315:$AJ$346,H$2+1,)</f>
        <v>0.73096273919999999</v>
      </c>
      <c r="I86" s="33">
        <f>VLOOKUP($E86,'[1]5.3.2 Emissions and intensity'!$E$315:$AJ$346,I$2+1,)</f>
        <v>0.72511503728640003</v>
      </c>
      <c r="J86" s="33">
        <f>VLOOKUP($E86,'[1]5.3.2 Emissions and intensity'!$E$315:$AJ$346,J$2+1,)</f>
        <v>0.71931411698810888</v>
      </c>
      <c r="K86" s="33">
        <f>VLOOKUP($E86,'[1]5.3.2 Emissions and intensity'!$E$315:$AJ$346,K$2+1,)</f>
        <v>0.71355960405220398</v>
      </c>
      <c r="L86" s="34">
        <f>VLOOKUP($E86,'[1]5.3.2 Emissions and intensity'!$E$315:$AJ$346,L$2+1,)</f>
        <v>0.14855999999999991</v>
      </c>
      <c r="M86" s="33">
        <f>VLOOKUP($E86,'[1]5.3.2 Emissions and intensity'!$E$315:$AJ$346,M$2+1,)</f>
        <v>0.14855999999999991</v>
      </c>
      <c r="N86" s="33">
        <f>VLOOKUP($E86,'[1]5.3.2 Emissions and intensity'!$E$315:$AJ$346,N$2+1,)</f>
        <v>0.14855999999999991</v>
      </c>
      <c r="O86" s="33">
        <f>VLOOKUP($E86,'[1]5.3.2 Emissions and intensity'!$E$315:$AJ$346,O$2+1,)</f>
        <v>0.14855999999999991</v>
      </c>
      <c r="P86" s="35">
        <f>VLOOKUP($E86,'[1]5.3.2 Emissions and intensity'!$E$315:$AJ$346,P$2+1,)</f>
        <v>0.14855999999999991</v>
      </c>
      <c r="Q86" s="33">
        <f>VLOOKUP($E86,'[1]5.3.2 Emissions and intensity'!$E$315:$AJ$346,Q$2+1,)</f>
        <v>0</v>
      </c>
      <c r="R86" s="33">
        <f>VLOOKUP($E86,'[1]5.3.2 Emissions and intensity'!$E$315:$AJ$346,R$2+1,)</f>
        <v>0</v>
      </c>
      <c r="S86" s="33">
        <f>VLOOKUP($E86,'[1]5.3.2 Emissions and intensity'!$E$315:$AJ$346,S$2+1,)</f>
        <v>0</v>
      </c>
      <c r="T86" s="35">
        <f>VLOOKUP($E86,'[1]5.3.2 Emissions and intensity'!$E$315:$AJ$346,T$2+1,)</f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0</v>
      </c>
      <c r="AC86" s="31">
        <v>0</v>
      </c>
      <c r="AD86" s="31">
        <v>0</v>
      </c>
      <c r="AE86" s="31">
        <v>0</v>
      </c>
      <c r="AF86" s="31">
        <v>0</v>
      </c>
      <c r="AG86" s="31">
        <v>0</v>
      </c>
      <c r="AH86" s="31">
        <v>0</v>
      </c>
      <c r="AI86" s="31">
        <v>0</v>
      </c>
      <c r="AJ86" s="31">
        <v>0</v>
      </c>
    </row>
    <row r="87" spans="1:36" ht="16" thickTop="1" thickBot="1">
      <c r="A87" s="40"/>
      <c r="B87" s="11"/>
      <c r="C87" s="21" t="s">
        <v>27</v>
      </c>
      <c r="D87" s="11" t="s">
        <v>24</v>
      </c>
      <c r="E87" s="20" t="str">
        <f t="shared" si="6"/>
        <v>NESSteel (BF-BOF route)</v>
      </c>
      <c r="F87" s="32">
        <f>VLOOKUP($E87,'[1]5.3.2 Emissions and intensity'!$E$315:$AJ$346,F$2+1,)</f>
        <v>1.8633846000000001</v>
      </c>
      <c r="G87" s="33">
        <f>VLOOKUP($E87,'[1]5.3.2 Emissions and intensity'!$E$315:$AJ$346,G$2+1,)</f>
        <v>1.8484775231999999</v>
      </c>
      <c r="H87" s="33">
        <f>VLOOKUP($E87,'[1]5.3.2 Emissions and intensity'!$E$315:$AJ$346,H$2+1,)</f>
        <v>1.8336897030144002</v>
      </c>
      <c r="I87" s="33">
        <f>VLOOKUP($E87,'[1]5.3.2 Emissions and intensity'!$E$315:$AJ$346,I$2+1,)</f>
        <v>1.819020185390285</v>
      </c>
      <c r="J87" s="33">
        <f>VLOOKUP($E87,'[1]5.3.2 Emissions and intensity'!$E$315:$AJ$346,J$2+1,)</f>
        <v>1.8044680239071624</v>
      </c>
      <c r="K87" s="33">
        <f>VLOOKUP($E87,'[1]5.3.2 Emissions and intensity'!$E$315:$AJ$346,K$2+1,)</f>
        <v>1.7900322797159052</v>
      </c>
      <c r="L87" s="34">
        <f>VLOOKUP($E87,'[1]5.3.2 Emissions and intensity'!$E$315:$AJ$346,L$2+1,)</f>
        <v>0.37267691999999997</v>
      </c>
      <c r="M87" s="33">
        <f>VLOOKUP($E87,'[1]5.3.2 Emissions and intensity'!$E$315:$AJ$346,M$2+1,)</f>
        <v>0.37267691999999997</v>
      </c>
      <c r="N87" s="33">
        <f>VLOOKUP($E87,'[1]5.3.2 Emissions and intensity'!$E$315:$AJ$346,N$2+1,)</f>
        <v>0.37267691999999997</v>
      </c>
      <c r="O87" s="33">
        <f>VLOOKUP($E87,'[1]5.3.2 Emissions and intensity'!$E$315:$AJ$346,O$2+1,)</f>
        <v>0.37267691999999997</v>
      </c>
      <c r="P87" s="35">
        <f>VLOOKUP($E87,'[1]5.3.2 Emissions and intensity'!$E$315:$AJ$346,P$2+1,)</f>
        <v>0.37267691999999997</v>
      </c>
      <c r="Q87" s="33">
        <f>VLOOKUP($E87,'[1]5.3.2 Emissions and intensity'!$E$315:$AJ$346,Q$2+1,)</f>
        <v>0</v>
      </c>
      <c r="R87" s="33">
        <f>VLOOKUP($E87,'[1]5.3.2 Emissions and intensity'!$E$315:$AJ$346,R$2+1,)</f>
        <v>0</v>
      </c>
      <c r="S87" s="33">
        <f>VLOOKUP($E87,'[1]5.3.2 Emissions and intensity'!$E$315:$AJ$346,S$2+1,)</f>
        <v>0</v>
      </c>
      <c r="T87" s="35">
        <f>VLOOKUP($E87,'[1]5.3.2 Emissions and intensity'!$E$315:$AJ$346,T$2+1,)</f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0</v>
      </c>
      <c r="AC87" s="31">
        <v>0</v>
      </c>
      <c r="AD87" s="31">
        <v>0</v>
      </c>
      <c r="AE87" s="31">
        <v>0</v>
      </c>
      <c r="AF87" s="31">
        <v>0</v>
      </c>
      <c r="AG87" s="31">
        <v>0</v>
      </c>
      <c r="AH87" s="31">
        <v>0</v>
      </c>
      <c r="AI87" s="31">
        <v>0</v>
      </c>
      <c r="AJ87" s="31">
        <v>0</v>
      </c>
    </row>
    <row r="88" spans="1:36" ht="16" thickTop="1" thickBot="1">
      <c r="A88" s="40"/>
      <c r="B88" s="11"/>
      <c r="C88" s="21" t="s">
        <v>27</v>
      </c>
      <c r="D88" s="11" t="s">
        <v>25</v>
      </c>
      <c r="E88" s="20" t="str">
        <f t="shared" si="6"/>
        <v>NESSteel (DRI-EAF route)</v>
      </c>
      <c r="F88" s="32">
        <f>VLOOKUP($E88,'[1]5.3.2 Emissions and intensity'!$E$315:$AJ$346,F$2+1,)</f>
        <v>0.67700000000000005</v>
      </c>
      <c r="G88" s="33">
        <f>VLOOKUP($E88,'[1]5.3.2 Emissions and intensity'!$E$315:$AJ$346,G$2+1,)</f>
        <v>0.62284000000000006</v>
      </c>
      <c r="H88" s="33">
        <f>VLOOKUP($E88,'[1]5.3.2 Emissions and intensity'!$E$315:$AJ$346,H$2+1,)</f>
        <v>0.62284000000000006</v>
      </c>
      <c r="I88" s="33">
        <f>VLOOKUP($E88,'[1]5.3.2 Emissions and intensity'!$E$315:$AJ$346,I$2+1,)</f>
        <v>0.62284000000000006</v>
      </c>
      <c r="J88" s="33">
        <f>VLOOKUP($E88,'[1]5.3.2 Emissions and intensity'!$E$315:$AJ$346,J$2+1,)</f>
        <v>0.62284000000000006</v>
      </c>
      <c r="K88" s="33">
        <f>VLOOKUP($E88,'[1]5.3.2 Emissions and intensity'!$E$315:$AJ$346,K$2+1,)</f>
        <v>0.62284000000000006</v>
      </c>
      <c r="L88" s="34">
        <f>VLOOKUP($E88,'[1]5.3.2 Emissions and intensity'!$E$315:$AJ$346,L$2+1,)</f>
        <v>0.56868000000000007</v>
      </c>
      <c r="M88" s="33">
        <f>VLOOKUP($E88,'[1]5.3.2 Emissions and intensity'!$E$315:$AJ$346,M$2+1,)</f>
        <v>0.56868000000000007</v>
      </c>
      <c r="N88" s="33">
        <f>VLOOKUP($E88,'[1]5.3.2 Emissions and intensity'!$E$315:$AJ$346,N$2+1,)</f>
        <v>0.56868000000000007</v>
      </c>
      <c r="O88" s="33">
        <f>VLOOKUP($E88,'[1]5.3.2 Emissions and intensity'!$E$315:$AJ$346,O$2+1,)</f>
        <v>0.56868000000000007</v>
      </c>
      <c r="P88" s="35">
        <f>VLOOKUP($E88,'[1]5.3.2 Emissions and intensity'!$E$315:$AJ$346,P$2+1,)</f>
        <v>0.56868000000000007</v>
      </c>
      <c r="Q88" s="33">
        <f>VLOOKUP($E88,'[1]5.3.2 Emissions and intensity'!$E$315:$AJ$346,Q$2+1,)</f>
        <v>0</v>
      </c>
      <c r="R88" s="33">
        <f>VLOOKUP($E88,'[1]5.3.2 Emissions and intensity'!$E$315:$AJ$346,R$2+1,)</f>
        <v>0</v>
      </c>
      <c r="S88" s="33">
        <f>VLOOKUP($E88,'[1]5.3.2 Emissions and intensity'!$E$315:$AJ$346,S$2+1,)</f>
        <v>0</v>
      </c>
      <c r="T88" s="35">
        <f>VLOOKUP($E88,'[1]5.3.2 Emissions and intensity'!$E$315:$AJ$346,T$2+1,)</f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>
        <v>0</v>
      </c>
      <c r="AG88" s="31">
        <v>0</v>
      </c>
      <c r="AH88" s="31">
        <v>0</v>
      </c>
      <c r="AI88" s="31">
        <v>0</v>
      </c>
      <c r="AJ88" s="31">
        <v>0</v>
      </c>
    </row>
    <row r="89" spans="1:36" ht="16" thickTop="1" thickBot="1">
      <c r="A89" s="40"/>
      <c r="B89" s="11"/>
      <c r="C89" s="21" t="s">
        <v>27</v>
      </c>
      <c r="D89" s="11" t="s">
        <v>26</v>
      </c>
      <c r="E89" s="20" t="str">
        <f t="shared" si="6"/>
        <v>NESSteel (Scrap-EAF route)</v>
      </c>
      <c r="F89" s="36">
        <f>VLOOKUP($E89,'[1]5.3.2 Emissions and intensity'!$E$315:$AJ$346,F$2+1,)</f>
        <v>0.37140000000000001</v>
      </c>
      <c r="G89" s="37">
        <f>VLOOKUP($E89,'[1]5.3.2 Emissions and intensity'!$E$315:$AJ$346,G$2+1,)</f>
        <v>0.3684288</v>
      </c>
      <c r="H89" s="37">
        <f>VLOOKUP($E89,'[1]5.3.2 Emissions and intensity'!$E$315:$AJ$346,H$2+1,)</f>
        <v>0.36548136959999999</v>
      </c>
      <c r="I89" s="37">
        <f>VLOOKUP($E89,'[1]5.3.2 Emissions and intensity'!$E$315:$AJ$346,I$2+1,)</f>
        <v>0.36255751864320002</v>
      </c>
      <c r="J89" s="37">
        <f>VLOOKUP($E89,'[1]5.3.2 Emissions and intensity'!$E$315:$AJ$346,J$2+1,)</f>
        <v>0.35965705849405444</v>
      </c>
      <c r="K89" s="37">
        <f>VLOOKUP($E89,'[1]5.3.2 Emissions and intensity'!$E$315:$AJ$346,K$2+1,)</f>
        <v>0.35677980202610199</v>
      </c>
      <c r="L89" s="38">
        <f>VLOOKUP($E89,'[1]5.3.2 Emissions and intensity'!$E$315:$AJ$346,L$2+1,)</f>
        <v>7.4279999999999957E-2</v>
      </c>
      <c r="M89" s="37">
        <f>VLOOKUP($E89,'[1]5.3.2 Emissions and intensity'!$E$315:$AJ$346,M$2+1,)</f>
        <v>7.4279999999999957E-2</v>
      </c>
      <c r="N89" s="37">
        <f>VLOOKUP($E89,'[1]5.3.2 Emissions and intensity'!$E$315:$AJ$346,N$2+1,)</f>
        <v>7.4279999999999957E-2</v>
      </c>
      <c r="O89" s="37">
        <f>VLOOKUP($E89,'[1]5.3.2 Emissions and intensity'!$E$315:$AJ$346,O$2+1,)</f>
        <v>7.4279999999999957E-2</v>
      </c>
      <c r="P89" s="39">
        <f>VLOOKUP($E89,'[1]5.3.2 Emissions and intensity'!$E$315:$AJ$346,P$2+1,)</f>
        <v>7.4279999999999957E-2</v>
      </c>
      <c r="Q89" s="37">
        <f>VLOOKUP($E89,'[1]5.3.2 Emissions and intensity'!$E$315:$AJ$346,Q$2+1,)</f>
        <v>0</v>
      </c>
      <c r="R89" s="37">
        <f>VLOOKUP($E89,'[1]5.3.2 Emissions and intensity'!$E$315:$AJ$346,R$2+1,)</f>
        <v>0</v>
      </c>
      <c r="S89" s="37">
        <f>VLOOKUP($E89,'[1]5.3.2 Emissions and intensity'!$E$315:$AJ$346,S$2+1,)</f>
        <v>0</v>
      </c>
      <c r="T89" s="39">
        <f>VLOOKUP($E89,'[1]5.3.2 Emissions and intensity'!$E$315:$AJ$346,T$2+1,)</f>
        <v>0</v>
      </c>
      <c r="U89" s="31">
        <v>0</v>
      </c>
      <c r="V89" s="31">
        <v>0</v>
      </c>
      <c r="W89" s="31">
        <v>0</v>
      </c>
      <c r="X89" s="31">
        <v>0</v>
      </c>
      <c r="Y89" s="31">
        <v>0</v>
      </c>
      <c r="Z89" s="31">
        <v>0</v>
      </c>
      <c r="AA89" s="31">
        <v>0</v>
      </c>
      <c r="AB89" s="31">
        <v>0</v>
      </c>
      <c r="AC89" s="31">
        <v>0</v>
      </c>
      <c r="AD89" s="31">
        <v>0</v>
      </c>
      <c r="AE89" s="31">
        <v>0</v>
      </c>
      <c r="AF89" s="31">
        <v>0</v>
      </c>
      <c r="AG89" s="31">
        <v>0</v>
      </c>
      <c r="AH89" s="31">
        <v>0</v>
      </c>
      <c r="AI89" s="31">
        <v>0</v>
      </c>
      <c r="AJ89" s="31">
        <v>0</v>
      </c>
    </row>
    <row r="90" spans="1:36" ht="14">
      <c r="A90" s="5"/>
    </row>
    <row r="91" spans="1:36" ht="14">
      <c r="A91" s="5"/>
    </row>
  </sheetData>
  <mergeCells count="1">
    <mergeCell ref="A3:B3"/>
  </mergeCells>
  <phoneticPr fontId="2" type="noConversion"/>
  <conditionalFormatting sqref="B12:B13">
    <cfRule type="iconSet" priority="3">
      <iconSet>
        <cfvo type="percent" val="0"/>
        <cfvo type="percent" val="33"/>
        <cfvo type="percent" val="67"/>
      </iconSet>
    </cfRule>
  </conditionalFormatting>
  <conditionalFormatting sqref="B15:B16">
    <cfRule type="iconSet" priority="2">
      <iconSet>
        <cfvo type="percent" val="0"/>
        <cfvo type="percent" val="33"/>
        <cfvo type="percent" val="67"/>
      </iconSet>
    </cfRule>
  </conditionalFormatting>
  <conditionalFormatting sqref="B17:B19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CBAM - Mechanism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Lu</dc:creator>
  <cp:lastModifiedBy>Bin Lu</cp:lastModifiedBy>
  <dcterms:created xsi:type="dcterms:W3CDTF">2025-11-28T02:28:20Z</dcterms:created>
  <dcterms:modified xsi:type="dcterms:W3CDTF">2025-11-28T02:28:34Z</dcterms:modified>
</cp:coreProperties>
</file>